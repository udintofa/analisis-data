
<file path=[Content_Types].xml><?xml version="1.0" encoding="utf-8"?>
<Types xmlns="http://schemas.openxmlformats.org/package/2006/content-type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2.xml" ContentType="application/vnd.openxmlformats-officedocument.drawing+xml"/>
  <Override PartName="/xl/slicers/slicer1.xml" ContentType="application/vnd.ms-excel.slicer+xml"/>
  <Override PartName="/xl/timelines/timeline1.xml" ContentType="application/vnd.ms-excel.timelin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D:\Coding\Python\data-analisis\excel-analysis\"/>
    </mc:Choice>
  </mc:AlternateContent>
  <xr:revisionPtr revIDLastSave="0" documentId="13_ncr:1_{F546EF05-6A71-464C-87DF-7CC2CFEAFB9E}" xr6:coauthVersionLast="47" xr6:coauthVersionMax="47" xr10:uidLastSave="{00000000-0000-0000-0000-000000000000}"/>
  <bookViews>
    <workbookView xWindow="-110" yWindow="-110" windowWidth="19420" windowHeight="11500" activeTab="3" xr2:uid="{00000000-000D-0000-FFFF-FFFF00000000}"/>
  </bookViews>
  <sheets>
    <sheet name="Sheet1" sheetId="1" r:id="rId1"/>
    <sheet name="Sheet3" sheetId="3" r:id="rId2"/>
    <sheet name="Sheet2" sheetId="2" r:id="rId3"/>
    <sheet name="Sheet4" sheetId="4" r:id="rId4"/>
  </sheets>
  <definedNames>
    <definedName name="NativeTimeline_order_date">#N/A</definedName>
    <definedName name="Slicer_item_name">#N/A</definedName>
    <definedName name="Slicer_item_type">#N/A</definedName>
    <definedName name="Slicer_time_of_sale">#N/A</definedName>
    <definedName name="Slicer_transaction_type">#N/A</definedName>
  </definedNames>
  <calcPr calcId="191029"/>
  <pivotCaches>
    <pivotCache cacheId="9" r:id="rId5"/>
  </pivotCaches>
  <extLst>
    <ext xmlns:x14="http://schemas.microsoft.com/office/spreadsheetml/2009/9/main" uri="{BBE1A952-AA13-448e-AADC-164F8A28A991}">
      <x14:slicerCaches>
        <x14:slicerCache r:id="rId6"/>
        <x14:slicerCache r:id="rId7"/>
        <x14:slicerCache r:id="rId8"/>
        <x14:slicerCache r:id="rId9"/>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0"/>
      </x15:timelineCacheRef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7" i="2" l="1"/>
  <c r="L6" i="4" s="1"/>
  <c r="O6" i="4"/>
  <c r="A11" i="2"/>
  <c r="O9" i="4" l="1"/>
</calcChain>
</file>

<file path=xl/sharedStrings.xml><?xml version="1.0" encoding="utf-8"?>
<sst xmlns="http://schemas.openxmlformats.org/spreadsheetml/2006/main" count="5080" uniqueCount="51">
  <si>
    <t>order_id</t>
  </si>
  <si>
    <t>order_date</t>
  </si>
  <si>
    <t>item_name</t>
  </si>
  <si>
    <t>item_type</t>
  </si>
  <si>
    <t>item_price</t>
  </si>
  <si>
    <t>quantity</t>
  </si>
  <si>
    <t>transaction_amount</t>
  </si>
  <si>
    <t>transaction_type</t>
  </si>
  <si>
    <t>received_by</t>
  </si>
  <si>
    <t>time_of_sale</t>
  </si>
  <si>
    <t>Aalopuri</t>
  </si>
  <si>
    <t>Fastfood</t>
  </si>
  <si>
    <t>Unknown</t>
  </si>
  <si>
    <t>Mr.</t>
  </si>
  <si>
    <t>Night</t>
  </si>
  <si>
    <t>Vadapav</t>
  </si>
  <si>
    <t>Cash</t>
  </si>
  <si>
    <t>Afternoon</t>
  </si>
  <si>
    <t>Sugarcane juice</t>
  </si>
  <si>
    <t>Beverages</t>
  </si>
  <si>
    <t>Online</t>
  </si>
  <si>
    <t>Evening</t>
  </si>
  <si>
    <t>Panipuri</t>
  </si>
  <si>
    <t>Mrs.</t>
  </si>
  <si>
    <t>Morning</t>
  </si>
  <si>
    <t>Frankie</t>
  </si>
  <si>
    <t>Sandwich</t>
  </si>
  <si>
    <t>Midnight</t>
  </si>
  <si>
    <t>Cold coffee</t>
  </si>
  <si>
    <t>Sum of transaction_amount</t>
  </si>
  <si>
    <t>Total Order</t>
  </si>
  <si>
    <t>Row Labels</t>
  </si>
  <si>
    <t>Grand Total</t>
  </si>
  <si>
    <t>Average of Order</t>
  </si>
  <si>
    <t>Sum of quantity</t>
  </si>
  <si>
    <t>2022</t>
  </si>
  <si>
    <t>2023</t>
  </si>
  <si>
    <t>Jan</t>
  </si>
  <si>
    <t>Feb</t>
  </si>
  <si>
    <t>Mar</t>
  </si>
  <si>
    <t>Apr</t>
  </si>
  <si>
    <t>May</t>
  </si>
  <si>
    <t>Jun</t>
  </si>
  <si>
    <t>Jul</t>
  </si>
  <si>
    <t>Aug</t>
  </si>
  <si>
    <t>Sep</t>
  </si>
  <si>
    <t>Oct</t>
  </si>
  <si>
    <t>Nov</t>
  </si>
  <si>
    <t>Dec</t>
  </si>
  <si>
    <t>Total Revenue</t>
  </si>
  <si>
    <t>BALAJI FOOD SALES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</si>
</sst>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8" formatCode="&quot;$&quot;#,##0.00"/>
  </numFmts>
  <fonts count="4" x14ac:knownFonts="1">
    <font>
      <sz val="11"/>
      <color theme="1"/>
      <name val="Garamond"/>
      <family val="2"/>
      <scheme val="minor"/>
    </font>
    <font>
      <b/>
      <sz val="11"/>
      <name val="Calibri"/>
    </font>
    <font>
      <b/>
      <sz val="11"/>
      <color theme="1"/>
      <name val="Garamond"/>
      <family val="2"/>
      <scheme val="minor"/>
    </font>
    <font>
      <b/>
      <sz val="28"/>
      <color theme="1"/>
      <name val="Garamond"/>
      <family val="2"/>
      <scheme val="minor"/>
    </font>
  </fonts>
  <fills count="3">
    <fill>
      <patternFill patternType="none"/>
    </fill>
    <fill>
      <patternFill patternType="gray125"/>
    </fill>
    <fill>
      <patternFill patternType="solid">
        <fgColor theme="2" tint="-0.249977111117893"/>
        <bgColor indexed="64"/>
      </patternFill>
    </fill>
  </fills>
  <borders count="14">
    <border>
      <left/>
      <right/>
      <top/>
      <bottom/>
      <diagonal/>
    </border>
    <border>
      <left style="thin">
        <color auto="1"/>
      </left>
      <right style="thin">
        <color auto="1"/>
      </right>
      <top/>
      <bottom style="thin">
        <color auto="1"/>
      </bottom>
      <diagonal/>
    </border>
    <border>
      <left style="medium">
        <color indexed="64"/>
      </left>
      <right style="thin">
        <color auto="1"/>
      </right>
      <top style="medium">
        <color indexed="64"/>
      </top>
      <bottom style="thin">
        <color auto="1"/>
      </bottom>
      <diagonal/>
    </border>
    <border>
      <left style="thin">
        <color auto="1"/>
      </left>
      <right style="medium">
        <color indexed="64"/>
      </right>
      <top style="medium">
        <color indexed="64"/>
      </top>
      <bottom style="thin">
        <color auto="1"/>
      </bottom>
      <diagonal/>
    </border>
    <border>
      <left style="medium">
        <color indexed="64"/>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1">
    <xf numFmtId="0" fontId="0" fillId="0" borderId="0"/>
  </cellStyleXfs>
  <cellXfs count="30">
    <xf numFmtId="0" fontId="0" fillId="0" borderId="0" xfId="0"/>
    <xf numFmtId="14" fontId="0" fillId="0" borderId="0" xfId="0" applyNumberFormat="1"/>
    <xf numFmtId="168"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0" fontId="0" fillId="0" borderId="0" xfId="0" applyNumberFormat="1"/>
    <xf numFmtId="0" fontId="0" fillId="0" borderId="0" xfId="0" applyAlignment="1">
      <alignment horizontal="left" indent="1"/>
    </xf>
    <xf numFmtId="168" fontId="0" fillId="0" borderId="4" xfId="0" applyNumberFormat="1" applyBorder="1" applyAlignment="1">
      <alignment horizontal="center"/>
    </xf>
    <xf numFmtId="168" fontId="0" fillId="0" borderId="5" xfId="0" applyNumberFormat="1" applyBorder="1" applyAlignment="1">
      <alignment horizontal="center"/>
    </xf>
    <xf numFmtId="0" fontId="0" fillId="0" borderId="4" xfId="0" applyBorder="1" applyAlignment="1">
      <alignment horizontal="center"/>
    </xf>
    <xf numFmtId="0" fontId="0" fillId="0" borderId="5" xfId="0" applyBorder="1" applyAlignment="1">
      <alignment horizontal="center"/>
    </xf>
    <xf numFmtId="0" fontId="2" fillId="2" borderId="2" xfId="0" applyFont="1" applyFill="1" applyBorder="1" applyAlignment="1">
      <alignment horizontal="center"/>
    </xf>
    <xf numFmtId="0" fontId="2" fillId="2" borderId="3" xfId="0" applyFont="1" applyFill="1" applyBorder="1" applyAlignment="1">
      <alignment horizontal="center"/>
    </xf>
    <xf numFmtId="0" fontId="3" fillId="2" borderId="6" xfId="0" applyFont="1" applyFill="1" applyBorder="1" applyAlignment="1">
      <alignment horizontal="center"/>
    </xf>
    <xf numFmtId="0" fontId="3" fillId="2" borderId="7" xfId="0" applyFont="1" applyFill="1" applyBorder="1" applyAlignment="1">
      <alignment horizontal="center"/>
    </xf>
    <xf numFmtId="0" fontId="3" fillId="2" borderId="8" xfId="0" applyFont="1" applyFill="1" applyBorder="1" applyAlignment="1">
      <alignment horizontal="center"/>
    </xf>
    <xf numFmtId="0" fontId="3" fillId="2" borderId="9" xfId="0" applyFont="1" applyFill="1" applyBorder="1" applyAlignment="1">
      <alignment horizontal="center"/>
    </xf>
    <xf numFmtId="0" fontId="3" fillId="2" borderId="0" xfId="0" applyFont="1" applyFill="1" applyBorder="1" applyAlignment="1">
      <alignment horizontal="center"/>
    </xf>
    <xf numFmtId="0" fontId="3" fillId="2" borderId="10" xfId="0" applyFont="1" applyFill="1" applyBorder="1" applyAlignment="1">
      <alignment horizontal="center"/>
    </xf>
    <xf numFmtId="0" fontId="0" fillId="0" borderId="9" xfId="0" applyBorder="1"/>
    <xf numFmtId="0" fontId="0" fillId="0" borderId="0" xfId="0" applyBorder="1"/>
    <xf numFmtId="0" fontId="0" fillId="0" borderId="10" xfId="0" applyBorder="1"/>
    <xf numFmtId="0" fontId="2" fillId="0" borderId="0" xfId="0" applyFont="1" applyBorder="1"/>
    <xf numFmtId="0" fontId="0" fillId="0" borderId="11" xfId="0" applyBorder="1"/>
    <xf numFmtId="0" fontId="0" fillId="0" borderId="12" xfId="0" applyBorder="1"/>
    <xf numFmtId="0" fontId="0" fillId="0" borderId="13" xfId="0" applyBorder="1"/>
    <xf numFmtId="0" fontId="3" fillId="2" borderId="11" xfId="0" applyFont="1" applyFill="1" applyBorder="1" applyAlignment="1">
      <alignment horizontal="center"/>
    </xf>
    <xf numFmtId="0" fontId="3" fillId="2" borderId="12" xfId="0" applyFont="1" applyFill="1" applyBorder="1" applyAlignment="1">
      <alignment horizontal="center"/>
    </xf>
    <xf numFmtId="0" fontId="3" fillId="2" borderId="13" xfId="0" applyFont="1" applyFill="1" applyBorder="1" applyAlignment="1">
      <alignment horizontal="center"/>
    </xf>
  </cellXfs>
  <cellStyles count="1">
    <cellStyle name="Normal" xfId="0" builtinId="0"/>
  </cellStyles>
  <dxfs count="6">
    <dxf>
      <font>
        <b/>
        <i val="0"/>
        <strike val="0"/>
        <condense val="0"/>
        <extend val="0"/>
        <outline val="0"/>
        <shadow val="0"/>
        <u val="none"/>
        <vertAlign val="baseline"/>
        <sz val="11"/>
        <color auto="1"/>
        <name val="Calibri"/>
        <scheme val="none"/>
      </font>
      <alignment horizontal="center" vertical="top" textRotation="0" wrapText="0" indent="0" justifyLastLine="0" shrinkToFit="0" readingOrder="0"/>
      <border diagonalUp="0" diagonalDown="0" outline="0">
        <left style="thin">
          <color auto="1"/>
        </left>
        <right style="thin">
          <color auto="1"/>
        </right>
        <top/>
        <bottom/>
      </border>
    </dxf>
    <dxf>
      <numFmt numFmtId="168" formatCode="&quot;$&quot;#,##0.00"/>
    </dxf>
    <dxf>
      <numFmt numFmtId="168" formatCode="&quot;$&quot;#,##0.00"/>
    </dxf>
    <dxf>
      <numFmt numFmtId="19" formatCode="m/d/yyyy"/>
    </dxf>
    <dxf>
      <border outline="0">
        <bottom style="thin">
          <color auto="1"/>
        </bottom>
      </border>
    </dxf>
    <dxf>
      <border outline="0">
        <top style="thin">
          <color auto="1"/>
        </top>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13" Type="http://schemas.openxmlformats.org/officeDocument/2006/relationships/sharedStrings" Target="sharedStrings.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theme" Target="theme/theme1.xml"/><Relationship Id="rId5" Type="http://schemas.openxmlformats.org/officeDocument/2006/relationships/pivotCacheDefinition" Target="pivotCache/pivotCacheDefinition1.xml"/><Relationship Id="rId10" Type="http://schemas.microsoft.com/office/2011/relationships/timelineCache" Target="timelineCaches/timelineCache1.xml"/><Relationship Id="rId4" Type="http://schemas.openxmlformats.org/officeDocument/2006/relationships/worksheet" Target="worksheets/sheet4.xml"/><Relationship Id="rId9" Type="http://schemas.microsoft.com/office/2007/relationships/slicerCache" Target="slicerCaches/slicerCache4.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3" Type="http://schemas.openxmlformats.org/officeDocument/2006/relationships/image" Target="../media/image1.jpeg"/><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3" Type="http://schemas.openxmlformats.org/officeDocument/2006/relationships/image" Target="../media/image1.jpeg"/><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3" Type="http://schemas.openxmlformats.org/officeDocument/2006/relationships/image" Target="../media/image1.jpeg"/><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3" Type="http://schemas.openxmlformats.org/officeDocument/2006/relationships/image" Target="../media/image1.jpeg"/><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3" Type="http://schemas.openxmlformats.org/officeDocument/2006/relationships/image" Target="../media/image1.jpeg"/><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3" Type="http://schemas.openxmlformats.org/officeDocument/2006/relationships/image" Target="../media/image1.jpeg"/><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[sales.xlsx]Sheet2!PivotTable3</c:name>
    <c:fmtId val="0"/>
  </c:pivotSource>
  <c:chart>
    <c:title>
      <c:tx>
        <c:rich>
          <a:bodyPr rot="0" spcFirstLastPara="1" vertOverflow="ellipsis" vert="horz" wrap="square" anchor="ctr" anchorCtr="1"/>
          <a:lstStyle/>
          <a:p>
            <a:pPr>
              <a:defRPr sz="1400" b="1" i="0" u="none" strike="noStrike" kern="1200" cap="all" spc="50" baseline="0">
                <a:solidFill>
                  <a:schemeClr val="tx1">
                    <a:lumMod val="65000"/>
                    <a:lumOff val="35000"/>
                  </a:schemeClr>
                </a:solidFill>
                <a:latin typeface="+mn-lt"/>
                <a:ea typeface="+mn-ea"/>
                <a:cs typeface="+mn-cs"/>
              </a:defRPr>
            </a:pPr>
            <a:r>
              <a:rPr lang="en-US"/>
              <a:t>Total order per barang</a:t>
            </a:r>
          </a:p>
        </c:rich>
      </c:tx>
      <c:overlay val="0"/>
      <c:spPr>
        <a:noFill/>
        <a:ln>
          <a:noFill/>
        </a:ln>
        <a:effectLst/>
      </c:spPr>
      <c:txPr>
        <a:bodyPr rot="0" spcFirstLastPara="1" vertOverflow="ellipsis" vert="horz" wrap="square" anchor="ctr" anchorCtr="1"/>
        <a:lstStyle/>
        <a:p>
          <a:pPr>
            <a:defRPr sz="1400" b="1" i="0" u="none" strike="noStrike" kern="1200" cap="all" spc="5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s>
    <c:plotArea>
      <c:layout/>
      <c:pieChart>
        <c:varyColors val="1"/>
        <c:ser>
          <c:idx val="0"/>
          <c:order val="0"/>
          <c:tx>
            <c:strRef>
              <c:f>Sheet2!$B$15</c:f>
              <c:strCache>
                <c:ptCount val="1"/>
                <c:pt idx="0">
                  <c:v>Total</c:v>
                </c:pt>
              </c:strCache>
            </c:strRef>
          </c:tx>
          <c:dPt>
            <c:idx val="0"/>
            <c:bubble3D val="0"/>
            <c:spPr>
              <a:solidFill>
                <a:schemeClr val="accent1"/>
              </a:solidFill>
              <a:ln>
                <a:noFill/>
              </a:ln>
              <a:effectLst/>
              <a:scene3d>
                <a:camera prst="orthographicFront"/>
                <a:lightRig rig="brightRoom" dir="t"/>
              </a:scene3d>
              <a:sp3d prstMaterial="flat">
                <a:bevelT w="50800" h="101600" prst="angle"/>
                <a:contourClr>
                  <a:srgbClr val="000000"/>
                </a:contourClr>
              </a:sp3d>
            </c:spPr>
          </c:dPt>
          <c:dPt>
            <c:idx val="1"/>
            <c:bubble3D val="0"/>
            <c:spPr>
              <a:solidFill>
                <a:schemeClr val="accent2"/>
              </a:solidFill>
              <a:ln>
                <a:noFill/>
              </a:ln>
              <a:effectLst/>
              <a:scene3d>
                <a:camera prst="orthographicFront"/>
                <a:lightRig rig="brightRoom" dir="t"/>
              </a:scene3d>
              <a:sp3d prstMaterial="flat">
                <a:bevelT w="50800" h="101600" prst="angle"/>
                <a:contourClr>
                  <a:srgbClr val="000000"/>
                </a:contourClr>
              </a:sp3d>
            </c:spPr>
          </c:dPt>
          <c:dPt>
            <c:idx val="2"/>
            <c:bubble3D val="0"/>
            <c:spPr>
              <a:solidFill>
                <a:schemeClr val="accent3"/>
              </a:solidFill>
              <a:ln>
                <a:noFill/>
              </a:ln>
              <a:effectLst/>
              <a:scene3d>
                <a:camera prst="orthographicFront"/>
                <a:lightRig rig="brightRoom" dir="t"/>
              </a:scene3d>
              <a:sp3d prstMaterial="flat">
                <a:bevelT w="50800" h="101600" prst="angle"/>
                <a:contourClr>
                  <a:srgbClr val="000000"/>
                </a:contourClr>
              </a:sp3d>
            </c:spPr>
          </c:dPt>
          <c:dPt>
            <c:idx val="3"/>
            <c:bubble3D val="0"/>
            <c:spPr>
              <a:solidFill>
                <a:schemeClr val="accent4"/>
              </a:solidFill>
              <a:ln>
                <a:noFill/>
              </a:ln>
              <a:effectLst/>
              <a:scene3d>
                <a:camera prst="orthographicFront"/>
                <a:lightRig rig="brightRoom" dir="t"/>
              </a:scene3d>
              <a:sp3d prstMaterial="flat">
                <a:bevelT w="50800" h="101600" prst="angle"/>
                <a:contourClr>
                  <a:srgbClr val="000000"/>
                </a:contourClr>
              </a:sp3d>
            </c:spPr>
          </c:dPt>
          <c:dPt>
            <c:idx val="4"/>
            <c:bubble3D val="0"/>
            <c:spPr>
              <a:solidFill>
                <a:schemeClr val="accent5"/>
              </a:solidFill>
              <a:ln>
                <a:noFill/>
              </a:ln>
              <a:effectLst/>
              <a:scene3d>
                <a:camera prst="orthographicFront"/>
                <a:lightRig rig="brightRoom" dir="t"/>
              </a:scene3d>
              <a:sp3d prstMaterial="flat">
                <a:bevelT w="50800" h="101600" prst="angle"/>
                <a:contourClr>
                  <a:srgbClr val="000000"/>
                </a:contourClr>
              </a:sp3d>
            </c:spPr>
          </c:dPt>
          <c:dPt>
            <c:idx val="5"/>
            <c:bubble3D val="0"/>
            <c:spPr>
              <a:solidFill>
                <a:schemeClr val="accent6"/>
              </a:solidFill>
              <a:ln>
                <a:noFill/>
              </a:ln>
              <a:effectLst/>
              <a:scene3d>
                <a:camera prst="orthographicFront"/>
                <a:lightRig rig="brightRoom" dir="t"/>
              </a:scene3d>
              <a:sp3d prstMaterial="flat">
                <a:bevelT w="50800" h="101600" prst="angle"/>
                <a:contourClr>
                  <a:srgbClr val="000000"/>
                </a:contourClr>
              </a:sp3d>
            </c:spPr>
          </c:dPt>
          <c:dPt>
            <c:idx val="6"/>
            <c:bubble3D val="0"/>
            <c:spPr>
              <a:solidFill>
                <a:schemeClr val="accent1">
                  <a:lumMod val="60000"/>
                </a:schemeClr>
              </a:solidFill>
              <a:ln>
                <a:noFill/>
              </a:ln>
              <a:effectLst/>
              <a:scene3d>
                <a:camera prst="orthographicFront"/>
                <a:lightRig rig="brightRoom" dir="t"/>
              </a:scene3d>
              <a:sp3d prstMaterial="flat">
                <a:bevelT w="50800" h="101600" prst="angle"/>
                <a:contourClr>
                  <a:srgbClr val="000000"/>
                </a:contourClr>
              </a:sp3d>
            </c:spPr>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Sheet2!$A$16:$A$23</c:f>
              <c:strCache>
                <c:ptCount val="7"/>
                <c:pt idx="0">
                  <c:v>Aalopuri</c:v>
                </c:pt>
                <c:pt idx="1">
                  <c:v>Cold coffee</c:v>
                </c:pt>
                <c:pt idx="2">
                  <c:v>Frankie</c:v>
                </c:pt>
                <c:pt idx="3">
                  <c:v>Panipuri</c:v>
                </c:pt>
                <c:pt idx="4">
                  <c:v>Sandwich</c:v>
                </c:pt>
                <c:pt idx="5">
                  <c:v>Sugarcane juice</c:v>
                </c:pt>
                <c:pt idx="6">
                  <c:v>Vadapav</c:v>
                </c:pt>
              </c:strCache>
            </c:strRef>
          </c:cat>
          <c:val>
            <c:numRef>
              <c:f>Sheet2!$B$16:$B$23</c:f>
              <c:numCache>
                <c:formatCode>General</c:formatCode>
                <c:ptCount val="7"/>
                <c:pt idx="0">
                  <c:v>1044</c:v>
                </c:pt>
                <c:pt idx="1">
                  <c:v>1361</c:v>
                </c:pt>
                <c:pt idx="2">
                  <c:v>1150</c:v>
                </c:pt>
                <c:pt idx="3">
                  <c:v>1226</c:v>
                </c:pt>
                <c:pt idx="4">
                  <c:v>1097</c:v>
                </c:pt>
                <c:pt idx="5">
                  <c:v>1278</c:v>
                </c:pt>
                <c:pt idx="6">
                  <c:v>1006</c:v>
                </c:pt>
              </c:numCache>
            </c:numRef>
          </c:val>
          <c:extLst>
            <c:ext xmlns:c16="http://schemas.microsoft.com/office/drawing/2014/chart" uri="{C3380CC4-5D6E-409C-BE32-E72D297353CC}">
              <c16:uniqueId val="{00000000-EA0D-4CA7-87D4-B5F684624E18}"/>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[sales.xlsx]Sheet2!PivotTable4</c:name>
    <c:fmtId val="3"/>
  </c:pivotSource>
  <c:chart>
    <c:title>
      <c:tx>
        <c:rich>
          <a:bodyPr rot="0" spcFirstLastPara="1" vertOverflow="ellipsis" vert="horz" wrap="square" anchor="ctr" anchorCtr="1"/>
          <a:lstStyle/>
          <a:p>
            <a:pPr>
              <a:defRPr sz="1400" b="1" i="0" u="none" strike="noStrike" kern="1200" cap="all" spc="50" baseline="0">
                <a:solidFill>
                  <a:schemeClr val="tx1">
                    <a:lumMod val="65000"/>
                    <a:lumOff val="35000"/>
                  </a:schemeClr>
                </a:solidFill>
                <a:latin typeface="+mn-lt"/>
                <a:ea typeface="+mn-ea"/>
                <a:cs typeface="+mn-cs"/>
              </a:defRPr>
            </a:pPr>
            <a:r>
              <a:rPr lang="en-US"/>
              <a:t>Total order per jenis</a:t>
            </a:r>
          </a:p>
        </c:rich>
      </c:tx>
      <c:overlay val="0"/>
      <c:spPr>
        <a:noFill/>
        <a:ln>
          <a:noFill/>
        </a:ln>
        <a:effectLst/>
      </c:spPr>
      <c:txPr>
        <a:bodyPr rot="0" spcFirstLastPara="1" vertOverflow="ellipsis" vert="horz" wrap="square" anchor="ctr" anchorCtr="1"/>
        <a:lstStyle/>
        <a:p>
          <a:pPr>
            <a:defRPr sz="1400" b="1" i="0" u="none" strike="noStrike" kern="1200" cap="all" spc="5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s>
    <c:plotArea>
      <c:layout/>
      <c:pieChart>
        <c:varyColors val="1"/>
        <c:ser>
          <c:idx val="0"/>
          <c:order val="0"/>
          <c:tx>
            <c:strRef>
              <c:f>Sheet2!$B$28</c:f>
              <c:strCache>
                <c:ptCount val="1"/>
                <c:pt idx="0">
                  <c:v>Total</c:v>
                </c:pt>
              </c:strCache>
            </c:strRef>
          </c:tx>
          <c:dPt>
            <c:idx val="0"/>
            <c:bubble3D val="0"/>
            <c:spPr>
              <a:solidFill>
                <a:schemeClr val="accent1"/>
              </a:solidFill>
              <a:ln>
                <a:noFill/>
              </a:ln>
              <a:effectLst/>
              <a:scene3d>
                <a:camera prst="orthographicFront"/>
                <a:lightRig rig="brightRoom" dir="t"/>
              </a:scene3d>
              <a:sp3d prstMaterial="flat">
                <a:bevelT w="50800" h="101600" prst="angle"/>
                <a:contourClr>
                  <a:srgbClr val="000000"/>
                </a:contourClr>
              </a:sp3d>
            </c:spPr>
          </c:dPt>
          <c:dPt>
            <c:idx val="1"/>
            <c:bubble3D val="0"/>
            <c:spPr>
              <a:solidFill>
                <a:schemeClr val="accent2"/>
              </a:solidFill>
              <a:ln>
                <a:noFill/>
              </a:ln>
              <a:effectLst/>
              <a:scene3d>
                <a:camera prst="orthographicFront"/>
                <a:lightRig rig="brightRoom" dir="t"/>
              </a:scene3d>
              <a:sp3d prstMaterial="flat">
                <a:bevelT w="50800" h="101600" prst="angle"/>
                <a:contourClr>
                  <a:srgbClr val="000000"/>
                </a:contourClr>
              </a:sp3d>
            </c:spPr>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Sheet2!$A$29:$A$31</c:f>
              <c:strCache>
                <c:ptCount val="2"/>
                <c:pt idx="0">
                  <c:v>Beverages</c:v>
                </c:pt>
                <c:pt idx="1">
                  <c:v>Fastfood</c:v>
                </c:pt>
              </c:strCache>
            </c:strRef>
          </c:cat>
          <c:val>
            <c:numRef>
              <c:f>Sheet2!$B$29:$B$31</c:f>
              <c:numCache>
                <c:formatCode>General</c:formatCode>
                <c:ptCount val="2"/>
                <c:pt idx="0">
                  <c:v>2639</c:v>
                </c:pt>
                <c:pt idx="1">
                  <c:v>5523</c:v>
                </c:pt>
              </c:numCache>
            </c:numRef>
          </c:val>
          <c:extLst>
            <c:ext xmlns:c16="http://schemas.microsoft.com/office/drawing/2014/chart" uri="{C3380CC4-5D6E-409C-BE32-E72D297353CC}">
              <c16:uniqueId val="{00000000-47F7-419E-9858-DF1C1825031A}"/>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[sales.xlsx]Sheet2!PivotTable5</c:name>
    <c:fmtId val="5"/>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a:t>Penerimaan per Jenis</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spPr>
          <a:blipFill>
            <a:blip xmlns:r="http://schemas.openxmlformats.org/officeDocument/2006/relationships" r:embed="rId3">
              <a:duotone>
                <a:schemeClr val="accent1">
                  <a:shade val="74000"/>
                  <a:satMod val="130000"/>
                  <a:lumMod val="90000"/>
                </a:schemeClr>
                <a:schemeClr val="accent1">
                  <a:tint val="94000"/>
                  <a:satMod val="120000"/>
                  <a:lumMod val="104000"/>
                </a:schemeClr>
              </a:duotone>
            </a:blip>
            <a:tile tx="0" ty="0" sx="100000" sy="100000" flip="none" algn="tl"/>
          </a:blipFill>
          <a:ln>
            <a:noFill/>
          </a:ln>
          <a:effectLst>
            <a:innerShdw blurRad="25400" dist="12700" dir="13500000">
              <a:srgbClr val="000000">
                <a:alpha val="45000"/>
              </a:srgbClr>
            </a:innerShdw>
          </a:effectLst>
        </c:spPr>
        <c:marker>
          <c:symbol val="circle"/>
          <c:size val="6"/>
          <c:spPr>
            <a:blipFill>
              <a:blip xmlns:r="http://schemas.openxmlformats.org/officeDocument/2006/relationships" r:embed="rId3">
                <a:duotone>
                  <a:schemeClr val="accent1">
                    <a:shade val="74000"/>
                    <a:satMod val="130000"/>
                    <a:lumMod val="90000"/>
                  </a:schemeClr>
                  <a:schemeClr val="accent1">
                    <a:tint val="94000"/>
                    <a:satMod val="120000"/>
                    <a:lumMod val="104000"/>
                  </a:schemeClr>
                </a:duotone>
              </a:blip>
              <a:tile tx="0" ty="0" sx="100000" sy="100000" flip="none" algn="tl"/>
            </a:blipFill>
            <a:ln w="12700">
              <a:solidFill>
                <a:schemeClr val="lt2"/>
              </a:solidFill>
              <a:round/>
            </a:ln>
            <a:effectLst>
              <a:innerShdw blurRad="25400" dist="12700" dir="13500000">
                <a:srgbClr val="000000">
                  <a:alpha val="45000"/>
                </a:srgbClr>
              </a:inn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Sheet2!$B$41</c:f>
              <c:strCache>
                <c:ptCount val="1"/>
                <c:pt idx="0">
                  <c:v>Total</c:v>
                </c:pt>
              </c:strCache>
            </c:strRef>
          </c:tx>
          <c:spPr>
            <a:blipFill>
              <a:blip xmlns:r="http://schemas.openxmlformats.org/officeDocument/2006/relationships" r:embed="rId3">
                <a:duotone>
                  <a:schemeClr val="accent1">
                    <a:shade val="74000"/>
                    <a:satMod val="130000"/>
                    <a:lumMod val="90000"/>
                  </a:schemeClr>
                  <a:schemeClr val="accent1">
                    <a:tint val="94000"/>
                    <a:satMod val="120000"/>
                    <a:lumMod val="104000"/>
                  </a:schemeClr>
                </a:duotone>
              </a:blip>
              <a:tile tx="0" ty="0" sx="100000" sy="100000" flip="none" algn="tl"/>
            </a:blipFill>
            <a:ln>
              <a:noFill/>
            </a:ln>
            <a:effectLst>
              <a:innerShdw blurRad="25400" dist="12700" dir="13500000">
                <a:srgbClr val="000000">
                  <a:alpha val="45000"/>
                </a:srgbClr>
              </a:inn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strRef>
              <c:f>Sheet2!$A$42:$A$44</c:f>
              <c:strCache>
                <c:ptCount val="2"/>
                <c:pt idx="0">
                  <c:v>Beverages</c:v>
                </c:pt>
                <c:pt idx="1">
                  <c:v>Fastfood</c:v>
                </c:pt>
              </c:strCache>
            </c:strRef>
          </c:cat>
          <c:val>
            <c:numRef>
              <c:f>Sheet2!$B$42:$B$44</c:f>
              <c:numCache>
                <c:formatCode>"$"#,##0.00</c:formatCode>
                <c:ptCount val="2"/>
                <c:pt idx="0">
                  <c:v>86390</c:v>
                </c:pt>
                <c:pt idx="1">
                  <c:v>188840</c:v>
                </c:pt>
              </c:numCache>
            </c:numRef>
          </c:val>
          <c:extLst>
            <c:ext xmlns:c16="http://schemas.microsoft.com/office/drawing/2014/chart" uri="{C3380CC4-5D6E-409C-BE32-E72D297353CC}">
              <c16:uniqueId val="{00000000-4D26-47B0-96EB-B1455E9D4254}"/>
            </c:ext>
          </c:extLst>
        </c:ser>
        <c:dLbls>
          <c:dLblPos val="inEnd"/>
          <c:showLegendKey val="0"/>
          <c:showVal val="1"/>
          <c:showCatName val="0"/>
          <c:showSerName val="0"/>
          <c:showPercent val="0"/>
          <c:showBubbleSize val="0"/>
        </c:dLbls>
        <c:gapWidth val="100"/>
        <c:overlap val="-24"/>
        <c:axId val="564304864"/>
        <c:axId val="564310144"/>
      </c:barChart>
      <c:catAx>
        <c:axId val="564304864"/>
        <c:scaling>
          <c:orientation val="minMax"/>
        </c:scaling>
        <c:delete val="0"/>
        <c:axPos val="b"/>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564310144"/>
        <c:crosses val="autoZero"/>
        <c:auto val="1"/>
        <c:lblAlgn val="ctr"/>
        <c:lblOffset val="100"/>
        <c:noMultiLvlLbl val="0"/>
      </c:catAx>
      <c:valAx>
        <c:axId val="564310144"/>
        <c:scaling>
          <c:orientation val="minMax"/>
        </c:scaling>
        <c:delete val="0"/>
        <c:axPos val="l"/>
        <c:majorGridlines>
          <c:spPr>
            <a:ln w="9525" cap="flat" cmpd="sng" algn="ctr">
              <a:solidFill>
                <a:schemeClr val="tx2">
                  <a:lumMod val="15000"/>
                  <a:lumOff val="85000"/>
                </a:schemeClr>
              </a:solidFill>
              <a:round/>
            </a:ln>
            <a:effectLst/>
          </c:spPr>
        </c:majorGridlines>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56430486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[sales.xlsx]Sheet2!PivotTable6</c:name>
    <c:fmtId val="7"/>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a:t>Penerimaan per Barang</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spPr>
          <a:blipFill>
            <a:blip xmlns:r="http://schemas.openxmlformats.org/officeDocument/2006/relationships" r:embed="rId3">
              <a:duotone>
                <a:schemeClr val="accent1">
                  <a:shade val="74000"/>
                  <a:satMod val="130000"/>
                  <a:lumMod val="90000"/>
                </a:schemeClr>
                <a:schemeClr val="accent1">
                  <a:tint val="94000"/>
                  <a:satMod val="120000"/>
                  <a:lumMod val="104000"/>
                </a:schemeClr>
              </a:duotone>
            </a:blip>
            <a:tile tx="0" ty="0" sx="100000" sy="100000" flip="none" algn="tl"/>
          </a:blipFill>
          <a:ln>
            <a:noFill/>
          </a:ln>
          <a:effectLst>
            <a:innerShdw blurRad="25400" dist="12700" dir="13500000">
              <a:srgbClr val="000000">
                <a:alpha val="45000"/>
              </a:srgbClr>
            </a:innerShdw>
          </a:effectLst>
        </c:spPr>
        <c:marker>
          <c:symbol val="circle"/>
          <c:size val="6"/>
          <c:spPr>
            <a:blipFill>
              <a:blip xmlns:r="http://schemas.openxmlformats.org/officeDocument/2006/relationships" r:embed="rId3">
                <a:duotone>
                  <a:schemeClr val="accent1">
                    <a:shade val="74000"/>
                    <a:satMod val="130000"/>
                    <a:lumMod val="90000"/>
                  </a:schemeClr>
                  <a:schemeClr val="accent1">
                    <a:tint val="94000"/>
                    <a:satMod val="120000"/>
                    <a:lumMod val="104000"/>
                  </a:schemeClr>
                </a:duotone>
              </a:blip>
              <a:tile tx="0" ty="0" sx="100000" sy="100000" flip="none" algn="tl"/>
            </a:blipFill>
            <a:ln w="12700">
              <a:solidFill>
                <a:schemeClr val="lt2"/>
              </a:solidFill>
              <a:round/>
            </a:ln>
            <a:effectLst>
              <a:innerShdw blurRad="25400" dist="12700" dir="13500000">
                <a:srgbClr val="000000">
                  <a:alpha val="45000"/>
                </a:srgbClr>
              </a:inn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Sheet2!$B$49</c:f>
              <c:strCache>
                <c:ptCount val="1"/>
                <c:pt idx="0">
                  <c:v>Total</c:v>
                </c:pt>
              </c:strCache>
            </c:strRef>
          </c:tx>
          <c:spPr>
            <a:blipFill>
              <a:blip xmlns:r="http://schemas.openxmlformats.org/officeDocument/2006/relationships" r:embed="rId3">
                <a:duotone>
                  <a:schemeClr val="accent1">
                    <a:shade val="74000"/>
                    <a:satMod val="130000"/>
                    <a:lumMod val="90000"/>
                  </a:schemeClr>
                  <a:schemeClr val="accent1">
                    <a:tint val="94000"/>
                    <a:satMod val="120000"/>
                    <a:lumMod val="104000"/>
                  </a:schemeClr>
                </a:duotone>
              </a:blip>
              <a:tile tx="0" ty="0" sx="100000" sy="100000" flip="none" algn="tl"/>
            </a:blipFill>
            <a:ln>
              <a:noFill/>
            </a:ln>
            <a:effectLst>
              <a:innerShdw blurRad="25400" dist="12700" dir="13500000">
                <a:srgbClr val="000000">
                  <a:alpha val="45000"/>
                </a:srgbClr>
              </a:innerShdw>
            </a:effectLst>
          </c:spPr>
          <c:invertIfNegative val="0"/>
          <c:cat>
            <c:strRef>
              <c:f>Sheet2!$A$50:$A$57</c:f>
              <c:strCache>
                <c:ptCount val="7"/>
                <c:pt idx="0">
                  <c:v>Aalopuri</c:v>
                </c:pt>
                <c:pt idx="1">
                  <c:v>Cold coffee</c:v>
                </c:pt>
                <c:pt idx="2">
                  <c:v>Frankie</c:v>
                </c:pt>
                <c:pt idx="3">
                  <c:v>Panipuri</c:v>
                </c:pt>
                <c:pt idx="4">
                  <c:v>Sandwich</c:v>
                </c:pt>
                <c:pt idx="5">
                  <c:v>Sugarcane juice</c:v>
                </c:pt>
                <c:pt idx="6">
                  <c:v>Vadapav</c:v>
                </c:pt>
              </c:strCache>
            </c:strRef>
          </c:cat>
          <c:val>
            <c:numRef>
              <c:f>Sheet2!$B$50:$B$57</c:f>
              <c:numCache>
                <c:formatCode>"$"#,##0.00</c:formatCode>
                <c:ptCount val="7"/>
                <c:pt idx="0">
                  <c:v>20880</c:v>
                </c:pt>
                <c:pt idx="1">
                  <c:v>54440</c:v>
                </c:pt>
                <c:pt idx="2">
                  <c:v>57500</c:v>
                </c:pt>
                <c:pt idx="3">
                  <c:v>24520</c:v>
                </c:pt>
                <c:pt idx="4">
                  <c:v>65820</c:v>
                </c:pt>
                <c:pt idx="5">
                  <c:v>31950</c:v>
                </c:pt>
                <c:pt idx="6">
                  <c:v>20120</c:v>
                </c:pt>
              </c:numCache>
            </c:numRef>
          </c:val>
          <c:extLst>
            <c:ext xmlns:c16="http://schemas.microsoft.com/office/drawing/2014/chart" uri="{C3380CC4-5D6E-409C-BE32-E72D297353CC}">
              <c16:uniqueId val="{00000000-DB86-493F-ACCF-567624ACE8D2}"/>
            </c:ext>
          </c:extLst>
        </c:ser>
        <c:dLbls>
          <c:showLegendKey val="0"/>
          <c:showVal val="0"/>
          <c:showCatName val="0"/>
          <c:showSerName val="0"/>
          <c:showPercent val="0"/>
          <c:showBubbleSize val="0"/>
        </c:dLbls>
        <c:gapWidth val="100"/>
        <c:overlap val="-24"/>
        <c:axId val="713118432"/>
        <c:axId val="713119392"/>
      </c:barChart>
      <c:catAx>
        <c:axId val="713118432"/>
        <c:scaling>
          <c:orientation val="minMax"/>
        </c:scaling>
        <c:delete val="0"/>
        <c:axPos val="b"/>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713119392"/>
        <c:crosses val="autoZero"/>
        <c:auto val="1"/>
        <c:lblAlgn val="ctr"/>
        <c:lblOffset val="100"/>
        <c:noMultiLvlLbl val="0"/>
      </c:catAx>
      <c:valAx>
        <c:axId val="713119392"/>
        <c:scaling>
          <c:orientation val="minMax"/>
        </c:scaling>
        <c:delete val="0"/>
        <c:axPos val="l"/>
        <c:majorGridlines>
          <c:spPr>
            <a:ln w="9525" cap="flat" cmpd="sng" algn="ctr">
              <a:solidFill>
                <a:schemeClr val="tx2">
                  <a:lumMod val="15000"/>
                  <a:lumOff val="85000"/>
                </a:schemeClr>
              </a:solidFill>
              <a:round/>
            </a:ln>
            <a:effectLst/>
          </c:spPr>
        </c:majorGridlines>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71311843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[sales.xlsx]Sheet2!PivotTable7</c:name>
    <c:fmtId val="9"/>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a:t>Penerimaan per Pembayaran</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spPr>
          <a:blipFill>
            <a:blip xmlns:r="http://schemas.openxmlformats.org/officeDocument/2006/relationships" r:embed="rId3">
              <a:duotone>
                <a:schemeClr val="accent1">
                  <a:shade val="74000"/>
                  <a:satMod val="130000"/>
                  <a:lumMod val="90000"/>
                </a:schemeClr>
                <a:schemeClr val="accent1">
                  <a:tint val="94000"/>
                  <a:satMod val="120000"/>
                  <a:lumMod val="104000"/>
                </a:schemeClr>
              </a:duotone>
            </a:blip>
            <a:tile tx="0" ty="0" sx="100000" sy="100000" flip="none" algn="tl"/>
          </a:blipFill>
          <a:ln>
            <a:noFill/>
          </a:ln>
          <a:effectLst>
            <a:innerShdw blurRad="25400" dist="12700" dir="13500000">
              <a:srgbClr val="000000">
                <a:alpha val="45000"/>
              </a:srgbClr>
            </a:innerShdw>
          </a:effectLst>
        </c:spPr>
        <c:marker>
          <c:symbol val="circle"/>
          <c:size val="6"/>
          <c:spPr>
            <a:blipFill>
              <a:blip xmlns:r="http://schemas.openxmlformats.org/officeDocument/2006/relationships" r:embed="rId3">
                <a:duotone>
                  <a:schemeClr val="accent1">
                    <a:shade val="74000"/>
                    <a:satMod val="130000"/>
                    <a:lumMod val="90000"/>
                  </a:schemeClr>
                  <a:schemeClr val="accent1">
                    <a:tint val="94000"/>
                    <a:satMod val="120000"/>
                    <a:lumMod val="104000"/>
                  </a:schemeClr>
                </a:duotone>
              </a:blip>
              <a:tile tx="0" ty="0" sx="100000" sy="100000" flip="none" algn="tl"/>
            </a:blipFill>
            <a:ln w="12700">
              <a:solidFill>
                <a:schemeClr val="lt2"/>
              </a:solidFill>
              <a:round/>
            </a:ln>
            <a:effectLst>
              <a:innerShdw blurRad="25400" dist="12700" dir="13500000">
                <a:srgbClr val="000000">
                  <a:alpha val="45000"/>
                </a:srgbClr>
              </a:inn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Sheet2!$B$64</c:f>
              <c:strCache>
                <c:ptCount val="1"/>
                <c:pt idx="0">
                  <c:v>Total</c:v>
                </c:pt>
              </c:strCache>
            </c:strRef>
          </c:tx>
          <c:spPr>
            <a:blipFill>
              <a:blip xmlns:r="http://schemas.openxmlformats.org/officeDocument/2006/relationships" r:embed="rId3">
                <a:duotone>
                  <a:schemeClr val="accent1">
                    <a:shade val="74000"/>
                    <a:satMod val="130000"/>
                    <a:lumMod val="90000"/>
                  </a:schemeClr>
                  <a:schemeClr val="accent1">
                    <a:tint val="94000"/>
                    <a:satMod val="120000"/>
                    <a:lumMod val="104000"/>
                  </a:schemeClr>
                </a:duotone>
              </a:blip>
              <a:tile tx="0" ty="0" sx="100000" sy="100000" flip="none" algn="tl"/>
            </a:blipFill>
            <a:ln>
              <a:noFill/>
            </a:ln>
            <a:effectLst>
              <a:innerShdw blurRad="25400" dist="12700" dir="13500000">
                <a:srgbClr val="000000">
                  <a:alpha val="45000"/>
                </a:srgbClr>
              </a:innerShdw>
            </a:effectLst>
          </c:spPr>
          <c:invertIfNegative val="0"/>
          <c:cat>
            <c:strRef>
              <c:f>Sheet2!$A$65:$A$68</c:f>
              <c:strCache>
                <c:ptCount val="3"/>
                <c:pt idx="0">
                  <c:v>Cash</c:v>
                </c:pt>
                <c:pt idx="1">
                  <c:v>Online</c:v>
                </c:pt>
                <c:pt idx="2">
                  <c:v>Unknown</c:v>
                </c:pt>
              </c:strCache>
            </c:strRef>
          </c:cat>
          <c:val>
            <c:numRef>
              <c:f>Sheet2!$B$65:$B$68</c:f>
              <c:numCache>
                <c:formatCode>"$"#,##0.00</c:formatCode>
                <c:ptCount val="3"/>
                <c:pt idx="0">
                  <c:v>132840</c:v>
                </c:pt>
                <c:pt idx="1">
                  <c:v>110595</c:v>
                </c:pt>
                <c:pt idx="2">
                  <c:v>31795</c:v>
                </c:pt>
              </c:numCache>
            </c:numRef>
          </c:val>
          <c:extLst>
            <c:ext xmlns:c16="http://schemas.microsoft.com/office/drawing/2014/chart" uri="{C3380CC4-5D6E-409C-BE32-E72D297353CC}">
              <c16:uniqueId val="{00000000-4B7D-4B81-9DE1-1C753EE3C68A}"/>
            </c:ext>
          </c:extLst>
        </c:ser>
        <c:dLbls>
          <c:showLegendKey val="0"/>
          <c:showVal val="0"/>
          <c:showCatName val="0"/>
          <c:showSerName val="0"/>
          <c:showPercent val="0"/>
          <c:showBubbleSize val="0"/>
        </c:dLbls>
        <c:gapWidth val="100"/>
        <c:overlap val="-24"/>
        <c:axId val="713126592"/>
        <c:axId val="713135712"/>
      </c:barChart>
      <c:catAx>
        <c:axId val="713126592"/>
        <c:scaling>
          <c:orientation val="minMax"/>
        </c:scaling>
        <c:delete val="0"/>
        <c:axPos val="b"/>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713135712"/>
        <c:crosses val="autoZero"/>
        <c:auto val="1"/>
        <c:lblAlgn val="ctr"/>
        <c:lblOffset val="100"/>
        <c:noMultiLvlLbl val="0"/>
      </c:catAx>
      <c:valAx>
        <c:axId val="713135712"/>
        <c:scaling>
          <c:orientation val="minMax"/>
        </c:scaling>
        <c:delete val="0"/>
        <c:axPos val="l"/>
        <c:majorGridlines>
          <c:spPr>
            <a:ln w="9525" cap="flat" cmpd="sng" algn="ctr">
              <a:solidFill>
                <a:schemeClr val="tx2">
                  <a:lumMod val="15000"/>
                  <a:lumOff val="85000"/>
                </a:schemeClr>
              </a:solidFill>
              <a:round/>
            </a:ln>
            <a:effectLst/>
          </c:spPr>
        </c:majorGridlines>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71312659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[sales.xlsx]Sheet2!PivotTable8</c:name>
    <c:fmtId val="11"/>
  </c:pivotSource>
  <c:chart>
    <c:title>
      <c:tx>
        <c:rich>
          <a:bodyPr rot="0" spcFirstLastPara="1" vertOverflow="ellipsis" vert="horz" wrap="square" anchor="ctr" anchorCtr="1"/>
          <a:lstStyle/>
          <a:p>
            <a:pPr>
              <a:defRPr sz="1400" b="1" i="0" u="none" strike="noStrike" kern="1200" cap="all" spc="50" baseline="0">
                <a:solidFill>
                  <a:schemeClr val="tx1">
                    <a:lumMod val="65000"/>
                    <a:lumOff val="35000"/>
                  </a:schemeClr>
                </a:solidFill>
                <a:latin typeface="+mn-lt"/>
                <a:ea typeface="+mn-ea"/>
                <a:cs typeface="+mn-cs"/>
              </a:defRPr>
            </a:pPr>
            <a:r>
              <a:rPr lang="en-US"/>
              <a:t>Total pembelian per waktu</a:t>
            </a:r>
          </a:p>
        </c:rich>
      </c:tx>
      <c:overlay val="0"/>
      <c:spPr>
        <a:noFill/>
        <a:ln>
          <a:noFill/>
        </a:ln>
        <a:effectLst/>
      </c:spPr>
      <c:txPr>
        <a:bodyPr rot="0" spcFirstLastPara="1" vertOverflow="ellipsis" vert="horz" wrap="square" anchor="ctr" anchorCtr="1"/>
        <a:lstStyle/>
        <a:p>
          <a:pPr>
            <a:defRPr sz="1400" b="1" i="0" u="none" strike="noStrike" kern="1200" cap="all" spc="5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s>
    <c:plotArea>
      <c:layout/>
      <c:pieChart>
        <c:varyColors val="1"/>
        <c:ser>
          <c:idx val="0"/>
          <c:order val="0"/>
          <c:tx>
            <c:strRef>
              <c:f>Sheet2!$B$76</c:f>
              <c:strCache>
                <c:ptCount val="1"/>
                <c:pt idx="0">
                  <c:v>Total</c:v>
                </c:pt>
              </c:strCache>
            </c:strRef>
          </c:tx>
          <c:dPt>
            <c:idx val="0"/>
            <c:bubble3D val="0"/>
            <c:spPr>
              <a:solidFill>
                <a:schemeClr val="accent1"/>
              </a:solidFill>
              <a:ln>
                <a:noFill/>
              </a:ln>
              <a:effectLst/>
              <a:scene3d>
                <a:camera prst="orthographicFront"/>
                <a:lightRig rig="brightRoom" dir="t"/>
              </a:scene3d>
              <a:sp3d prstMaterial="flat">
                <a:bevelT w="50800" h="101600" prst="angle"/>
                <a:contourClr>
                  <a:srgbClr val="000000"/>
                </a:contourClr>
              </a:sp3d>
            </c:spPr>
          </c:dPt>
          <c:dPt>
            <c:idx val="1"/>
            <c:bubble3D val="0"/>
            <c:spPr>
              <a:solidFill>
                <a:schemeClr val="accent2"/>
              </a:solidFill>
              <a:ln>
                <a:noFill/>
              </a:ln>
              <a:effectLst/>
              <a:scene3d>
                <a:camera prst="orthographicFront"/>
                <a:lightRig rig="brightRoom" dir="t"/>
              </a:scene3d>
              <a:sp3d prstMaterial="flat">
                <a:bevelT w="50800" h="101600" prst="angle"/>
                <a:contourClr>
                  <a:srgbClr val="000000"/>
                </a:contourClr>
              </a:sp3d>
            </c:spPr>
          </c:dPt>
          <c:dPt>
            <c:idx val="2"/>
            <c:bubble3D val="0"/>
            <c:spPr>
              <a:solidFill>
                <a:schemeClr val="accent3"/>
              </a:solidFill>
              <a:ln>
                <a:noFill/>
              </a:ln>
              <a:effectLst/>
              <a:scene3d>
                <a:camera prst="orthographicFront"/>
                <a:lightRig rig="brightRoom" dir="t"/>
              </a:scene3d>
              <a:sp3d prstMaterial="flat">
                <a:bevelT w="50800" h="101600" prst="angle"/>
                <a:contourClr>
                  <a:srgbClr val="000000"/>
                </a:contourClr>
              </a:sp3d>
            </c:spPr>
          </c:dPt>
          <c:dPt>
            <c:idx val="3"/>
            <c:bubble3D val="0"/>
            <c:spPr>
              <a:solidFill>
                <a:schemeClr val="accent4"/>
              </a:solidFill>
              <a:ln>
                <a:noFill/>
              </a:ln>
              <a:effectLst/>
              <a:scene3d>
                <a:camera prst="orthographicFront"/>
                <a:lightRig rig="brightRoom" dir="t"/>
              </a:scene3d>
              <a:sp3d prstMaterial="flat">
                <a:bevelT w="50800" h="101600" prst="angle"/>
                <a:contourClr>
                  <a:srgbClr val="000000"/>
                </a:contourClr>
              </a:sp3d>
            </c:spPr>
          </c:dPt>
          <c:dPt>
            <c:idx val="4"/>
            <c:bubble3D val="0"/>
            <c:spPr>
              <a:solidFill>
                <a:schemeClr val="accent5"/>
              </a:solidFill>
              <a:ln>
                <a:noFill/>
              </a:ln>
              <a:effectLst/>
              <a:scene3d>
                <a:camera prst="orthographicFront"/>
                <a:lightRig rig="brightRoom" dir="t"/>
              </a:scene3d>
              <a:sp3d prstMaterial="flat">
                <a:bevelT w="50800" h="101600" prst="angle"/>
                <a:contourClr>
                  <a:srgbClr val="000000"/>
                </a:contourClr>
              </a:sp3d>
            </c:spPr>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Sheet2!$A$77:$A$82</c:f>
              <c:strCache>
                <c:ptCount val="5"/>
                <c:pt idx="0">
                  <c:v>Afternoon</c:v>
                </c:pt>
                <c:pt idx="1">
                  <c:v>Evening</c:v>
                </c:pt>
                <c:pt idx="2">
                  <c:v>Midnight</c:v>
                </c:pt>
                <c:pt idx="3">
                  <c:v>Morning</c:v>
                </c:pt>
                <c:pt idx="4">
                  <c:v>Night</c:v>
                </c:pt>
              </c:strCache>
            </c:strRef>
          </c:cat>
          <c:val>
            <c:numRef>
              <c:f>Sheet2!$B$77:$B$82</c:f>
              <c:numCache>
                <c:formatCode>General</c:formatCode>
                <c:ptCount val="5"/>
                <c:pt idx="0">
                  <c:v>1714</c:v>
                </c:pt>
                <c:pt idx="1">
                  <c:v>1540</c:v>
                </c:pt>
                <c:pt idx="2">
                  <c:v>1575</c:v>
                </c:pt>
                <c:pt idx="3">
                  <c:v>1574</c:v>
                </c:pt>
                <c:pt idx="4">
                  <c:v>1759</c:v>
                </c:pt>
              </c:numCache>
            </c:numRef>
          </c:val>
          <c:extLst>
            <c:ext xmlns:c16="http://schemas.microsoft.com/office/drawing/2014/chart" uri="{C3380CC4-5D6E-409C-BE32-E72D297353CC}">
              <c16:uniqueId val="{00000000-A31F-49EA-84C9-1B0245C6BC6C}"/>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[sales.xlsx]Sheet2!PivotTable9</c:name>
    <c:fmtId val="1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Tren Pendapatan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Sheet2!$B$88</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multiLvlStrRef>
              <c:f>Sheet2!$A$89:$A$103</c:f>
              <c:multiLvlStrCache>
                <c:ptCount val="12"/>
                <c:lvl>
                  <c:pt idx="0">
                    <c:v>Apr</c:v>
                  </c:pt>
                  <c:pt idx="1">
                    <c:v>May</c:v>
                  </c:pt>
                  <c:pt idx="2">
                    <c:v>Jun</c:v>
                  </c:pt>
                  <c:pt idx="3">
                    <c:v>Jul</c:v>
                  </c:pt>
                  <c:pt idx="4">
                    <c:v>Aug</c:v>
                  </c:pt>
                  <c:pt idx="5">
                    <c:v>Sep</c:v>
                  </c:pt>
                  <c:pt idx="6">
                    <c:v>Oct</c:v>
                  </c:pt>
                  <c:pt idx="7">
                    <c:v>Nov</c:v>
                  </c:pt>
                  <c:pt idx="8">
                    <c:v>Dec</c:v>
                  </c:pt>
                  <c:pt idx="9">
                    <c:v>Jan</c:v>
                  </c:pt>
                  <c:pt idx="10">
                    <c:v>Feb</c:v>
                  </c:pt>
                  <c:pt idx="11">
                    <c:v>Mar</c:v>
                  </c:pt>
                </c:lvl>
                <c:lvl>
                  <c:pt idx="0">
                    <c:v>2022</c:v>
                  </c:pt>
                  <c:pt idx="9">
                    <c:v>2023</c:v>
                  </c:pt>
                </c:lvl>
              </c:multiLvlStrCache>
            </c:multiLvlStrRef>
          </c:cat>
          <c:val>
            <c:numRef>
              <c:f>Sheet2!$B$89:$B$103</c:f>
              <c:numCache>
                <c:formatCode>"$"#,##0.00</c:formatCode>
                <c:ptCount val="12"/>
                <c:pt idx="0">
                  <c:v>17670</c:v>
                </c:pt>
                <c:pt idx="1">
                  <c:v>26570</c:v>
                </c:pt>
                <c:pt idx="2">
                  <c:v>17335</c:v>
                </c:pt>
                <c:pt idx="3">
                  <c:v>19490</c:v>
                </c:pt>
                <c:pt idx="4">
                  <c:v>22305</c:v>
                </c:pt>
                <c:pt idx="5">
                  <c:v>18640</c:v>
                </c:pt>
                <c:pt idx="6">
                  <c:v>27205</c:v>
                </c:pt>
                <c:pt idx="7">
                  <c:v>22900</c:v>
                </c:pt>
                <c:pt idx="8">
                  <c:v>23460</c:v>
                </c:pt>
                <c:pt idx="9">
                  <c:v>28670</c:v>
                </c:pt>
                <c:pt idx="10">
                  <c:v>25595</c:v>
                </c:pt>
                <c:pt idx="11">
                  <c:v>25390</c:v>
                </c:pt>
              </c:numCache>
            </c:numRef>
          </c:val>
          <c:smooth val="0"/>
          <c:extLst>
            <c:ext xmlns:c16="http://schemas.microsoft.com/office/drawing/2014/chart" uri="{C3380CC4-5D6E-409C-BE32-E72D297353CC}">
              <c16:uniqueId val="{00000000-DC26-4395-AA50-45FCA87CC366}"/>
            </c:ext>
          </c:extLst>
        </c:ser>
        <c:dLbls>
          <c:dLblPos val="ctr"/>
          <c:showLegendKey val="0"/>
          <c:showVal val="0"/>
          <c:showCatName val="0"/>
          <c:showSerName val="0"/>
          <c:showPercent val="0"/>
          <c:showBubbleSize val="0"/>
        </c:dLbls>
        <c:marker val="1"/>
        <c:smooth val="0"/>
        <c:axId val="713124192"/>
        <c:axId val="713124672"/>
      </c:lineChart>
      <c:catAx>
        <c:axId val="7131241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13124672"/>
        <c:crosses val="autoZero"/>
        <c:auto val="1"/>
        <c:lblAlgn val="ctr"/>
        <c:lblOffset val="100"/>
        <c:noMultiLvlLbl val="0"/>
      </c:catAx>
      <c:valAx>
        <c:axId val="713124672"/>
        <c:scaling>
          <c:orientation val="minMax"/>
        </c:scaling>
        <c:delete val="0"/>
        <c:axPos val="l"/>
        <c:majorGridlines>
          <c:spPr>
            <a:ln w="9525" cap="flat" cmpd="sng" algn="ctr">
              <a:solidFill>
                <a:schemeClr val="tx1">
                  <a:lumMod val="15000"/>
                  <a:lumOff val="85000"/>
                </a:schemeClr>
              </a:solidFill>
              <a:round/>
            </a:ln>
            <a:effectLst/>
          </c:spPr>
        </c:majorGridlines>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131241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[sales.xlsx]Sheet2!PivotTable3</c:name>
    <c:fmtId val="4"/>
  </c:pivotSource>
  <c:chart>
    <c:title>
      <c:tx>
        <c:rich>
          <a:bodyPr rot="0" spcFirstLastPara="1" vertOverflow="ellipsis" vert="horz" wrap="square" anchor="ctr" anchorCtr="1"/>
          <a:lstStyle/>
          <a:p>
            <a:pPr>
              <a:defRPr sz="1050" b="1" i="0" u="none" strike="noStrike" kern="1200" cap="all" spc="50" baseline="0">
                <a:solidFill>
                  <a:schemeClr val="tx1">
                    <a:lumMod val="65000"/>
                    <a:lumOff val="35000"/>
                  </a:schemeClr>
                </a:solidFill>
                <a:latin typeface="+mn-lt"/>
                <a:ea typeface="+mn-ea"/>
                <a:cs typeface="+mn-cs"/>
              </a:defRPr>
            </a:pPr>
            <a:r>
              <a:rPr lang="en-US" sz="1050"/>
              <a:t>Total order per barang</a:t>
            </a:r>
          </a:p>
        </c:rich>
      </c:tx>
      <c:overlay val="0"/>
      <c:spPr>
        <a:noFill/>
        <a:ln>
          <a:noFill/>
        </a:ln>
        <a:effectLst/>
      </c:spPr>
      <c:txPr>
        <a:bodyPr rot="0" spcFirstLastPara="1" vertOverflow="ellipsis" vert="horz" wrap="square" anchor="ctr" anchorCtr="1"/>
        <a:lstStyle/>
        <a:p>
          <a:pPr>
            <a:defRPr sz="1050" b="1" i="0" u="none" strike="noStrike" kern="1200" cap="all" spc="5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3"/>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4"/>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5"/>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6"/>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7"/>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8"/>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9"/>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10"/>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11"/>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12"/>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13"/>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14"/>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15"/>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16"/>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s>
    <c:plotArea>
      <c:layout/>
      <c:pieChart>
        <c:varyColors val="1"/>
        <c:ser>
          <c:idx val="0"/>
          <c:order val="0"/>
          <c:tx>
            <c:strRef>
              <c:f>Sheet2!$B$15</c:f>
              <c:strCache>
                <c:ptCount val="1"/>
                <c:pt idx="0">
                  <c:v>Total</c:v>
                </c:pt>
              </c:strCache>
            </c:strRef>
          </c:tx>
          <c:dPt>
            <c:idx val="0"/>
            <c:bubble3D val="0"/>
            <c:spPr>
              <a:solidFill>
                <a:schemeClr val="accent1"/>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1-64B3-4CDB-A4C9-66295FC14A8D}"/>
              </c:ext>
            </c:extLst>
          </c:dPt>
          <c:dPt>
            <c:idx val="1"/>
            <c:bubble3D val="0"/>
            <c:spPr>
              <a:solidFill>
                <a:schemeClr val="accent2"/>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3-64B3-4CDB-A4C9-66295FC14A8D}"/>
              </c:ext>
            </c:extLst>
          </c:dPt>
          <c:dPt>
            <c:idx val="2"/>
            <c:bubble3D val="0"/>
            <c:spPr>
              <a:solidFill>
                <a:schemeClr val="accent3"/>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5-64B3-4CDB-A4C9-66295FC14A8D}"/>
              </c:ext>
            </c:extLst>
          </c:dPt>
          <c:dPt>
            <c:idx val="3"/>
            <c:bubble3D val="0"/>
            <c:spPr>
              <a:solidFill>
                <a:schemeClr val="accent4"/>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7-64B3-4CDB-A4C9-66295FC14A8D}"/>
              </c:ext>
            </c:extLst>
          </c:dPt>
          <c:dPt>
            <c:idx val="4"/>
            <c:bubble3D val="0"/>
            <c:spPr>
              <a:solidFill>
                <a:schemeClr val="accent5"/>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9-64B3-4CDB-A4C9-66295FC14A8D}"/>
              </c:ext>
            </c:extLst>
          </c:dPt>
          <c:dPt>
            <c:idx val="5"/>
            <c:bubble3D val="0"/>
            <c:spPr>
              <a:solidFill>
                <a:schemeClr val="accent6"/>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B-64B3-4CDB-A4C9-66295FC14A8D}"/>
              </c:ext>
            </c:extLst>
          </c:dPt>
          <c:dPt>
            <c:idx val="6"/>
            <c:bubble3D val="0"/>
            <c:spPr>
              <a:solidFill>
                <a:schemeClr val="accent1">
                  <a:lumMod val="60000"/>
                </a:schemeClr>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D-64B3-4CDB-A4C9-66295FC14A8D}"/>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Sheet2!$A$16:$A$23</c:f>
              <c:strCache>
                <c:ptCount val="7"/>
                <c:pt idx="0">
                  <c:v>Aalopuri</c:v>
                </c:pt>
                <c:pt idx="1">
                  <c:v>Cold coffee</c:v>
                </c:pt>
                <c:pt idx="2">
                  <c:v>Frankie</c:v>
                </c:pt>
                <c:pt idx="3">
                  <c:v>Panipuri</c:v>
                </c:pt>
                <c:pt idx="4">
                  <c:v>Sandwich</c:v>
                </c:pt>
                <c:pt idx="5">
                  <c:v>Sugarcane juice</c:v>
                </c:pt>
                <c:pt idx="6">
                  <c:v>Vadapav</c:v>
                </c:pt>
              </c:strCache>
            </c:strRef>
          </c:cat>
          <c:val>
            <c:numRef>
              <c:f>Sheet2!$B$16:$B$23</c:f>
              <c:numCache>
                <c:formatCode>General</c:formatCode>
                <c:ptCount val="7"/>
                <c:pt idx="0">
                  <c:v>1044</c:v>
                </c:pt>
                <c:pt idx="1">
                  <c:v>1361</c:v>
                </c:pt>
                <c:pt idx="2">
                  <c:v>1150</c:v>
                </c:pt>
                <c:pt idx="3">
                  <c:v>1226</c:v>
                </c:pt>
                <c:pt idx="4">
                  <c:v>1097</c:v>
                </c:pt>
                <c:pt idx="5">
                  <c:v>1278</c:v>
                </c:pt>
                <c:pt idx="6">
                  <c:v>1006</c:v>
                </c:pt>
              </c:numCache>
            </c:numRef>
          </c:val>
          <c:extLst>
            <c:ext xmlns:c16="http://schemas.microsoft.com/office/drawing/2014/chart" uri="{C3380CC4-5D6E-409C-BE32-E72D297353CC}">
              <c16:uniqueId val="{0000000E-64B3-4CDB-A4C9-66295FC14A8D}"/>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[sales.xlsx]Sheet2!PivotTable4</c:name>
    <c:fmtId val="6"/>
  </c:pivotSource>
  <c:chart>
    <c:title>
      <c:tx>
        <c:rich>
          <a:bodyPr rot="0" spcFirstLastPara="1" vertOverflow="ellipsis" vert="horz" wrap="square" anchor="ctr" anchorCtr="1"/>
          <a:lstStyle/>
          <a:p>
            <a:pPr>
              <a:defRPr sz="1100" b="1" i="0" u="none" strike="noStrike" kern="1200" cap="all" spc="50" baseline="0">
                <a:solidFill>
                  <a:schemeClr val="tx1">
                    <a:lumMod val="65000"/>
                    <a:lumOff val="35000"/>
                  </a:schemeClr>
                </a:solidFill>
                <a:latin typeface="+mn-lt"/>
                <a:ea typeface="+mn-ea"/>
                <a:cs typeface="+mn-cs"/>
              </a:defRPr>
            </a:pPr>
            <a:r>
              <a:rPr lang="en-US" sz="1100"/>
              <a:t>Total order per jenis</a:t>
            </a:r>
          </a:p>
        </c:rich>
      </c:tx>
      <c:overlay val="0"/>
      <c:spPr>
        <a:noFill/>
        <a:ln>
          <a:noFill/>
        </a:ln>
        <a:effectLst/>
      </c:spPr>
      <c:txPr>
        <a:bodyPr rot="0" spcFirstLastPara="1" vertOverflow="ellipsis" vert="horz" wrap="square" anchor="ctr" anchorCtr="1"/>
        <a:lstStyle/>
        <a:p>
          <a:pPr>
            <a:defRPr sz="1100" b="1" i="0" u="none" strike="noStrike" kern="1200" cap="all" spc="5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3"/>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4"/>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5"/>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6"/>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s>
    <c:plotArea>
      <c:layout/>
      <c:pieChart>
        <c:varyColors val="1"/>
        <c:ser>
          <c:idx val="0"/>
          <c:order val="0"/>
          <c:tx>
            <c:strRef>
              <c:f>Sheet2!$B$28</c:f>
              <c:strCache>
                <c:ptCount val="1"/>
                <c:pt idx="0">
                  <c:v>Total</c:v>
                </c:pt>
              </c:strCache>
            </c:strRef>
          </c:tx>
          <c:dPt>
            <c:idx val="0"/>
            <c:bubble3D val="0"/>
            <c:spPr>
              <a:solidFill>
                <a:schemeClr val="accent1"/>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1-A0A0-40E5-B52F-EF1D97AD1506}"/>
              </c:ext>
            </c:extLst>
          </c:dPt>
          <c:dPt>
            <c:idx val="1"/>
            <c:bubble3D val="0"/>
            <c:spPr>
              <a:solidFill>
                <a:schemeClr val="accent2"/>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3-A0A0-40E5-B52F-EF1D97AD1506}"/>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Sheet2!$A$29:$A$31</c:f>
              <c:strCache>
                <c:ptCount val="2"/>
                <c:pt idx="0">
                  <c:v>Beverages</c:v>
                </c:pt>
                <c:pt idx="1">
                  <c:v>Fastfood</c:v>
                </c:pt>
              </c:strCache>
            </c:strRef>
          </c:cat>
          <c:val>
            <c:numRef>
              <c:f>Sheet2!$B$29:$B$31</c:f>
              <c:numCache>
                <c:formatCode>General</c:formatCode>
                <c:ptCount val="2"/>
                <c:pt idx="0">
                  <c:v>2639</c:v>
                </c:pt>
                <c:pt idx="1">
                  <c:v>5523</c:v>
                </c:pt>
              </c:numCache>
            </c:numRef>
          </c:val>
          <c:extLst>
            <c:ext xmlns:c16="http://schemas.microsoft.com/office/drawing/2014/chart" uri="{C3380CC4-5D6E-409C-BE32-E72D297353CC}">
              <c16:uniqueId val="{00000004-A0A0-40E5-B52F-EF1D97AD150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[sales.xlsx]Sheet2!PivotTable5</c:name>
    <c:fmtId val="8"/>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a:t>Penerimaan per Jenis</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12700">
              <a:solidFill>
                <a:schemeClr val="lt2"/>
              </a:solidFill>
              <a:round/>
            </a:ln>
            <a:effectLst>
              <a:outerShdw blurRad="40000" dist="23000" dir="5400000" rotWithShape="0">
                <a:srgbClr val="000000">
                  <a:alpha val="35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blipFill>
            <a:blip xmlns:r="http://schemas.openxmlformats.org/officeDocument/2006/relationships" r:embed="rId3">
              <a:duotone>
                <a:schemeClr val="accent1">
                  <a:shade val="74000"/>
                  <a:satMod val="130000"/>
                  <a:lumMod val="90000"/>
                </a:schemeClr>
                <a:schemeClr val="accent1">
                  <a:tint val="94000"/>
                  <a:satMod val="120000"/>
                  <a:lumMod val="104000"/>
                </a:schemeClr>
              </a:duotone>
            </a:blip>
            <a:tile tx="0" ty="0" sx="100000" sy="100000" flip="none" algn="tl"/>
          </a:blipFill>
          <a:ln>
            <a:noFill/>
          </a:ln>
          <a:effectLst>
            <a:innerShdw blurRad="25400" dist="12700" dir="13500000">
              <a:srgbClr val="000000">
                <a:alpha val="45000"/>
              </a:srgbClr>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Sheet2!$B$41</c:f>
              <c:strCache>
                <c:ptCount val="1"/>
                <c:pt idx="0">
                  <c:v>Total</c:v>
                </c:pt>
              </c:strCache>
            </c:strRef>
          </c:tx>
          <c:spPr>
            <a:blipFill>
              <a:blip xmlns:r="http://schemas.openxmlformats.org/officeDocument/2006/relationships" r:embed="rId3">
                <a:duotone>
                  <a:schemeClr val="accent1">
                    <a:shade val="74000"/>
                    <a:satMod val="130000"/>
                    <a:lumMod val="90000"/>
                  </a:schemeClr>
                  <a:schemeClr val="accent1">
                    <a:tint val="94000"/>
                    <a:satMod val="120000"/>
                    <a:lumMod val="104000"/>
                  </a:schemeClr>
                </a:duotone>
              </a:blip>
              <a:tile tx="0" ty="0" sx="100000" sy="100000" flip="none" algn="tl"/>
            </a:blipFill>
            <a:ln>
              <a:noFill/>
            </a:ln>
            <a:effectLst>
              <a:innerShdw blurRad="25400" dist="12700" dir="13500000">
                <a:srgbClr val="000000">
                  <a:alpha val="45000"/>
                </a:srgbClr>
              </a:inn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strRef>
              <c:f>Sheet2!$A$42:$A$44</c:f>
              <c:strCache>
                <c:ptCount val="2"/>
                <c:pt idx="0">
                  <c:v>Beverages</c:v>
                </c:pt>
                <c:pt idx="1">
                  <c:v>Fastfood</c:v>
                </c:pt>
              </c:strCache>
            </c:strRef>
          </c:cat>
          <c:val>
            <c:numRef>
              <c:f>Sheet2!$B$42:$B$44</c:f>
              <c:numCache>
                <c:formatCode>"$"#,##0.00</c:formatCode>
                <c:ptCount val="2"/>
                <c:pt idx="0">
                  <c:v>86390</c:v>
                </c:pt>
                <c:pt idx="1">
                  <c:v>188840</c:v>
                </c:pt>
              </c:numCache>
            </c:numRef>
          </c:val>
          <c:extLst>
            <c:ext xmlns:c16="http://schemas.microsoft.com/office/drawing/2014/chart" uri="{C3380CC4-5D6E-409C-BE32-E72D297353CC}">
              <c16:uniqueId val="{00000000-241D-4191-A85E-C1A5F61F48D1}"/>
            </c:ext>
          </c:extLst>
        </c:ser>
        <c:dLbls>
          <c:dLblPos val="inEnd"/>
          <c:showLegendKey val="0"/>
          <c:showVal val="1"/>
          <c:showCatName val="0"/>
          <c:showSerName val="0"/>
          <c:showPercent val="0"/>
          <c:showBubbleSize val="0"/>
        </c:dLbls>
        <c:gapWidth val="100"/>
        <c:overlap val="-24"/>
        <c:axId val="564304864"/>
        <c:axId val="564310144"/>
      </c:barChart>
      <c:catAx>
        <c:axId val="564304864"/>
        <c:scaling>
          <c:orientation val="minMax"/>
        </c:scaling>
        <c:delete val="0"/>
        <c:axPos val="b"/>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564310144"/>
        <c:crosses val="autoZero"/>
        <c:auto val="1"/>
        <c:lblAlgn val="ctr"/>
        <c:lblOffset val="100"/>
        <c:noMultiLvlLbl val="0"/>
      </c:catAx>
      <c:valAx>
        <c:axId val="564310144"/>
        <c:scaling>
          <c:orientation val="minMax"/>
        </c:scaling>
        <c:delete val="0"/>
        <c:axPos val="l"/>
        <c:majorGridlines>
          <c:spPr>
            <a:ln w="9525" cap="flat" cmpd="sng" algn="ctr">
              <a:solidFill>
                <a:schemeClr val="tx2">
                  <a:lumMod val="15000"/>
                  <a:lumOff val="85000"/>
                </a:schemeClr>
              </a:solidFill>
              <a:round/>
            </a:ln>
            <a:effectLst/>
          </c:spPr>
        </c:majorGridlines>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56430486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[sales.xlsx]Sheet2!PivotTable6</c:name>
    <c:fmtId val="10"/>
  </c:pivotSource>
  <c:chart>
    <c:title>
      <c:tx>
        <c:rich>
          <a:bodyPr rot="0" spcFirstLastPara="1" vertOverflow="ellipsis" vert="horz" wrap="square" anchor="ctr" anchorCtr="1"/>
          <a:lstStyle/>
          <a:p>
            <a:pPr>
              <a:defRPr sz="1400" b="1" i="0" u="none" strike="noStrike" kern="1200" baseline="0">
                <a:solidFill>
                  <a:schemeClr val="tx2"/>
                </a:solidFill>
                <a:latin typeface="+mn-lt"/>
                <a:ea typeface="+mn-ea"/>
                <a:cs typeface="+mn-cs"/>
              </a:defRPr>
            </a:pPr>
            <a:r>
              <a:rPr lang="en-US" sz="1400"/>
              <a:t>Penerimaan per Barang</a:t>
            </a:r>
          </a:p>
        </c:rich>
      </c:tx>
      <c:overlay val="0"/>
      <c:spPr>
        <a:noFill/>
        <a:ln>
          <a:noFill/>
        </a:ln>
        <a:effectLst/>
      </c:spPr>
      <c:txPr>
        <a:bodyPr rot="0" spcFirstLastPara="1" vertOverflow="ellipsis" vert="horz" wrap="square" anchor="ctr" anchorCtr="1"/>
        <a:lstStyle/>
        <a:p>
          <a:pPr>
            <a:defRPr sz="1400" b="1" i="0" u="none" strike="noStrike" kern="1200" baseline="0">
              <a:solidFill>
                <a:schemeClr val="tx2"/>
              </a:solidFill>
              <a:latin typeface="+mn-lt"/>
              <a:ea typeface="+mn-ea"/>
              <a:cs typeface="+mn-cs"/>
            </a:defRPr>
          </a:pPr>
          <a:endParaRPr lang="en-US"/>
        </a:p>
      </c:txPr>
    </c:title>
    <c:autoTitleDeleted val="0"/>
    <c:pivotFmts>
      <c:pivotFmt>
        <c:idx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12700">
              <a:solidFill>
                <a:schemeClr val="lt2"/>
              </a:solidFill>
              <a:round/>
            </a:ln>
            <a:effectLst>
              <a:outerShdw blurRad="40000" dist="23000" dir="5400000" rotWithShape="0">
                <a:srgbClr val="000000">
                  <a:alpha val="35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blipFill>
            <a:blip xmlns:r="http://schemas.openxmlformats.org/officeDocument/2006/relationships" r:embed="rId3">
              <a:duotone>
                <a:schemeClr val="accent1">
                  <a:shade val="74000"/>
                  <a:satMod val="130000"/>
                  <a:lumMod val="90000"/>
                </a:schemeClr>
                <a:schemeClr val="accent1">
                  <a:tint val="94000"/>
                  <a:satMod val="120000"/>
                  <a:lumMod val="104000"/>
                </a:schemeClr>
              </a:duotone>
            </a:blip>
            <a:tile tx="0" ty="0" sx="100000" sy="100000" flip="none" algn="tl"/>
          </a:blipFill>
          <a:ln>
            <a:noFill/>
          </a:ln>
          <a:effectLst>
            <a:innerShdw blurRad="25400" dist="12700" dir="13500000">
              <a:srgbClr val="000000">
                <a:alpha val="45000"/>
              </a:srgbClr>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Sheet2!$B$49</c:f>
              <c:strCache>
                <c:ptCount val="1"/>
                <c:pt idx="0">
                  <c:v>Total</c:v>
                </c:pt>
              </c:strCache>
            </c:strRef>
          </c:tx>
          <c:spPr>
            <a:blipFill>
              <a:blip xmlns:r="http://schemas.openxmlformats.org/officeDocument/2006/relationships" r:embed="rId3">
                <a:duotone>
                  <a:schemeClr val="accent1">
                    <a:shade val="74000"/>
                    <a:satMod val="130000"/>
                    <a:lumMod val="90000"/>
                  </a:schemeClr>
                  <a:schemeClr val="accent1">
                    <a:tint val="94000"/>
                    <a:satMod val="120000"/>
                    <a:lumMod val="104000"/>
                  </a:schemeClr>
                </a:duotone>
              </a:blip>
              <a:tile tx="0" ty="0" sx="100000" sy="100000" flip="none" algn="tl"/>
            </a:blipFill>
            <a:ln>
              <a:noFill/>
            </a:ln>
            <a:effectLst>
              <a:innerShdw blurRad="25400" dist="12700" dir="13500000">
                <a:srgbClr val="000000">
                  <a:alpha val="45000"/>
                </a:srgbClr>
              </a:innerShdw>
            </a:effectLst>
          </c:spPr>
          <c:invertIfNegative val="0"/>
          <c:cat>
            <c:strRef>
              <c:f>Sheet2!$A$50:$A$57</c:f>
              <c:strCache>
                <c:ptCount val="7"/>
                <c:pt idx="0">
                  <c:v>Aalopuri</c:v>
                </c:pt>
                <c:pt idx="1">
                  <c:v>Cold coffee</c:v>
                </c:pt>
                <c:pt idx="2">
                  <c:v>Frankie</c:v>
                </c:pt>
                <c:pt idx="3">
                  <c:v>Panipuri</c:v>
                </c:pt>
                <c:pt idx="4">
                  <c:v>Sandwich</c:v>
                </c:pt>
                <c:pt idx="5">
                  <c:v>Sugarcane juice</c:v>
                </c:pt>
                <c:pt idx="6">
                  <c:v>Vadapav</c:v>
                </c:pt>
              </c:strCache>
            </c:strRef>
          </c:cat>
          <c:val>
            <c:numRef>
              <c:f>Sheet2!$B$50:$B$57</c:f>
              <c:numCache>
                <c:formatCode>"$"#,##0.00</c:formatCode>
                <c:ptCount val="7"/>
                <c:pt idx="0">
                  <c:v>20880</c:v>
                </c:pt>
                <c:pt idx="1">
                  <c:v>54440</c:v>
                </c:pt>
                <c:pt idx="2">
                  <c:v>57500</c:v>
                </c:pt>
                <c:pt idx="3">
                  <c:v>24520</c:v>
                </c:pt>
                <c:pt idx="4">
                  <c:v>65820</c:v>
                </c:pt>
                <c:pt idx="5">
                  <c:v>31950</c:v>
                </c:pt>
                <c:pt idx="6">
                  <c:v>20120</c:v>
                </c:pt>
              </c:numCache>
            </c:numRef>
          </c:val>
          <c:extLst>
            <c:ext xmlns:c16="http://schemas.microsoft.com/office/drawing/2014/chart" uri="{C3380CC4-5D6E-409C-BE32-E72D297353CC}">
              <c16:uniqueId val="{00000000-2E79-4CAD-989A-3430C2B3AD52}"/>
            </c:ext>
          </c:extLst>
        </c:ser>
        <c:dLbls>
          <c:showLegendKey val="0"/>
          <c:showVal val="0"/>
          <c:showCatName val="0"/>
          <c:showSerName val="0"/>
          <c:showPercent val="0"/>
          <c:showBubbleSize val="0"/>
        </c:dLbls>
        <c:gapWidth val="100"/>
        <c:overlap val="-24"/>
        <c:axId val="713118432"/>
        <c:axId val="713119392"/>
      </c:barChart>
      <c:catAx>
        <c:axId val="713118432"/>
        <c:scaling>
          <c:orientation val="minMax"/>
        </c:scaling>
        <c:delete val="0"/>
        <c:axPos val="b"/>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700" b="0" i="0" u="none" strike="noStrike" kern="1200" baseline="0">
                <a:solidFill>
                  <a:schemeClr val="tx2"/>
                </a:solidFill>
                <a:latin typeface="+mn-lt"/>
                <a:ea typeface="+mn-ea"/>
                <a:cs typeface="+mn-cs"/>
              </a:defRPr>
            </a:pPr>
            <a:endParaRPr lang="en-US"/>
          </a:p>
        </c:txPr>
        <c:crossAx val="713119392"/>
        <c:crosses val="autoZero"/>
        <c:auto val="1"/>
        <c:lblAlgn val="ctr"/>
        <c:lblOffset val="100"/>
        <c:noMultiLvlLbl val="0"/>
      </c:catAx>
      <c:valAx>
        <c:axId val="713119392"/>
        <c:scaling>
          <c:orientation val="minMax"/>
        </c:scaling>
        <c:delete val="0"/>
        <c:axPos val="l"/>
        <c:majorGridlines>
          <c:spPr>
            <a:ln w="9525" cap="flat" cmpd="sng" algn="ctr">
              <a:solidFill>
                <a:schemeClr val="tx2">
                  <a:lumMod val="15000"/>
                  <a:lumOff val="85000"/>
                </a:schemeClr>
              </a:solidFill>
              <a:round/>
            </a:ln>
            <a:effectLst/>
          </c:spPr>
        </c:majorGridlines>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71311843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[sales.xlsx]Sheet2!PivotTable7</c:name>
    <c:fmtId val="12"/>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a:t>Penerimaan per Pembayaran</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12700">
              <a:solidFill>
                <a:schemeClr val="lt2"/>
              </a:solidFill>
              <a:round/>
            </a:ln>
            <a:effectLst>
              <a:outerShdw blurRad="40000" dist="23000" dir="5400000" rotWithShape="0">
                <a:srgbClr val="000000">
                  <a:alpha val="35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blipFill>
            <a:blip xmlns:r="http://schemas.openxmlformats.org/officeDocument/2006/relationships" r:embed="rId3">
              <a:duotone>
                <a:schemeClr val="accent1">
                  <a:shade val="74000"/>
                  <a:satMod val="130000"/>
                  <a:lumMod val="90000"/>
                </a:schemeClr>
                <a:schemeClr val="accent1">
                  <a:tint val="94000"/>
                  <a:satMod val="120000"/>
                  <a:lumMod val="104000"/>
                </a:schemeClr>
              </a:duotone>
            </a:blip>
            <a:tile tx="0" ty="0" sx="100000" sy="100000" flip="none" algn="tl"/>
          </a:blipFill>
          <a:ln>
            <a:noFill/>
          </a:ln>
          <a:effectLst>
            <a:innerShdw blurRad="25400" dist="12700" dir="13500000">
              <a:srgbClr val="000000">
                <a:alpha val="45000"/>
              </a:srgbClr>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Sheet2!$B$64</c:f>
              <c:strCache>
                <c:ptCount val="1"/>
                <c:pt idx="0">
                  <c:v>Total</c:v>
                </c:pt>
              </c:strCache>
            </c:strRef>
          </c:tx>
          <c:spPr>
            <a:blipFill>
              <a:blip xmlns:r="http://schemas.openxmlformats.org/officeDocument/2006/relationships" r:embed="rId3">
                <a:duotone>
                  <a:schemeClr val="accent1">
                    <a:shade val="74000"/>
                    <a:satMod val="130000"/>
                    <a:lumMod val="90000"/>
                  </a:schemeClr>
                  <a:schemeClr val="accent1">
                    <a:tint val="94000"/>
                    <a:satMod val="120000"/>
                    <a:lumMod val="104000"/>
                  </a:schemeClr>
                </a:duotone>
              </a:blip>
              <a:tile tx="0" ty="0" sx="100000" sy="100000" flip="none" algn="tl"/>
            </a:blipFill>
            <a:ln>
              <a:noFill/>
            </a:ln>
            <a:effectLst>
              <a:innerShdw blurRad="25400" dist="12700" dir="13500000">
                <a:srgbClr val="000000">
                  <a:alpha val="45000"/>
                </a:srgbClr>
              </a:innerShdw>
            </a:effectLst>
          </c:spPr>
          <c:invertIfNegative val="0"/>
          <c:cat>
            <c:strRef>
              <c:f>Sheet2!$A$65:$A$68</c:f>
              <c:strCache>
                <c:ptCount val="3"/>
                <c:pt idx="0">
                  <c:v>Cash</c:v>
                </c:pt>
                <c:pt idx="1">
                  <c:v>Online</c:v>
                </c:pt>
                <c:pt idx="2">
                  <c:v>Unknown</c:v>
                </c:pt>
              </c:strCache>
            </c:strRef>
          </c:cat>
          <c:val>
            <c:numRef>
              <c:f>Sheet2!$B$65:$B$68</c:f>
              <c:numCache>
                <c:formatCode>"$"#,##0.00</c:formatCode>
                <c:ptCount val="3"/>
                <c:pt idx="0">
                  <c:v>132840</c:v>
                </c:pt>
                <c:pt idx="1">
                  <c:v>110595</c:v>
                </c:pt>
                <c:pt idx="2">
                  <c:v>31795</c:v>
                </c:pt>
              </c:numCache>
            </c:numRef>
          </c:val>
          <c:extLst>
            <c:ext xmlns:c16="http://schemas.microsoft.com/office/drawing/2014/chart" uri="{C3380CC4-5D6E-409C-BE32-E72D297353CC}">
              <c16:uniqueId val="{00000000-2365-44D5-987E-9A4653AFC675}"/>
            </c:ext>
          </c:extLst>
        </c:ser>
        <c:dLbls>
          <c:showLegendKey val="0"/>
          <c:showVal val="0"/>
          <c:showCatName val="0"/>
          <c:showSerName val="0"/>
          <c:showPercent val="0"/>
          <c:showBubbleSize val="0"/>
        </c:dLbls>
        <c:gapWidth val="100"/>
        <c:overlap val="-24"/>
        <c:axId val="713126592"/>
        <c:axId val="713135712"/>
      </c:barChart>
      <c:catAx>
        <c:axId val="713126592"/>
        <c:scaling>
          <c:orientation val="minMax"/>
        </c:scaling>
        <c:delete val="0"/>
        <c:axPos val="b"/>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713135712"/>
        <c:crosses val="autoZero"/>
        <c:auto val="1"/>
        <c:lblAlgn val="ctr"/>
        <c:lblOffset val="100"/>
        <c:noMultiLvlLbl val="0"/>
      </c:catAx>
      <c:valAx>
        <c:axId val="713135712"/>
        <c:scaling>
          <c:orientation val="minMax"/>
        </c:scaling>
        <c:delete val="0"/>
        <c:axPos val="l"/>
        <c:majorGridlines>
          <c:spPr>
            <a:ln w="9525" cap="flat" cmpd="sng" algn="ctr">
              <a:solidFill>
                <a:schemeClr val="tx2">
                  <a:lumMod val="15000"/>
                  <a:lumOff val="85000"/>
                </a:schemeClr>
              </a:solidFill>
              <a:round/>
            </a:ln>
            <a:effectLst/>
          </c:spPr>
        </c:majorGridlines>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800" b="0" i="0" u="none" strike="noStrike" kern="1200" baseline="0">
                <a:solidFill>
                  <a:schemeClr val="tx2"/>
                </a:solidFill>
                <a:latin typeface="+mn-lt"/>
                <a:ea typeface="+mn-ea"/>
                <a:cs typeface="+mn-cs"/>
              </a:defRPr>
            </a:pPr>
            <a:endParaRPr lang="en-US"/>
          </a:p>
        </c:txPr>
        <c:crossAx val="713126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[sales.xlsx]Sheet2!PivotTable8</c:name>
    <c:fmtId val="14"/>
  </c:pivotSource>
  <c:chart>
    <c:title>
      <c:tx>
        <c:rich>
          <a:bodyPr rot="0" spcFirstLastPara="1" vertOverflow="ellipsis" vert="horz" wrap="square" anchor="ctr" anchorCtr="1"/>
          <a:lstStyle/>
          <a:p>
            <a:pPr>
              <a:defRPr sz="1100" b="1" i="0" u="none" strike="noStrike" kern="1200" cap="all" spc="50" baseline="0">
                <a:solidFill>
                  <a:schemeClr val="tx1">
                    <a:lumMod val="65000"/>
                    <a:lumOff val="35000"/>
                  </a:schemeClr>
                </a:solidFill>
                <a:latin typeface="+mn-lt"/>
                <a:ea typeface="+mn-ea"/>
                <a:cs typeface="+mn-cs"/>
              </a:defRPr>
            </a:pPr>
            <a:r>
              <a:rPr lang="en-US" sz="1100"/>
              <a:t>Total pembelian per waktu</a:t>
            </a:r>
          </a:p>
        </c:rich>
      </c:tx>
      <c:overlay val="0"/>
      <c:spPr>
        <a:noFill/>
        <a:ln>
          <a:noFill/>
        </a:ln>
        <a:effectLst/>
      </c:spPr>
      <c:txPr>
        <a:bodyPr rot="0" spcFirstLastPara="1" vertOverflow="ellipsis" vert="horz" wrap="square" anchor="ctr" anchorCtr="1"/>
        <a:lstStyle/>
        <a:p>
          <a:pPr>
            <a:defRPr sz="1100" b="1" i="0" u="none" strike="noStrike" kern="1200" cap="all" spc="5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3"/>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4"/>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5"/>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6"/>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7"/>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8"/>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9"/>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10"/>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11"/>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12"/>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s>
    <c:plotArea>
      <c:layout/>
      <c:pieChart>
        <c:varyColors val="1"/>
        <c:ser>
          <c:idx val="0"/>
          <c:order val="0"/>
          <c:tx>
            <c:strRef>
              <c:f>Sheet2!$B$76</c:f>
              <c:strCache>
                <c:ptCount val="1"/>
                <c:pt idx="0">
                  <c:v>Total</c:v>
                </c:pt>
              </c:strCache>
            </c:strRef>
          </c:tx>
          <c:dPt>
            <c:idx val="0"/>
            <c:bubble3D val="0"/>
            <c:spPr>
              <a:solidFill>
                <a:schemeClr val="accent1"/>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1-46EC-429B-A300-8F9A935A2354}"/>
              </c:ext>
            </c:extLst>
          </c:dPt>
          <c:dPt>
            <c:idx val="1"/>
            <c:bubble3D val="0"/>
            <c:spPr>
              <a:solidFill>
                <a:schemeClr val="accent2"/>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3-46EC-429B-A300-8F9A935A2354}"/>
              </c:ext>
            </c:extLst>
          </c:dPt>
          <c:dPt>
            <c:idx val="2"/>
            <c:bubble3D val="0"/>
            <c:spPr>
              <a:solidFill>
                <a:schemeClr val="accent3"/>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5-46EC-429B-A300-8F9A935A2354}"/>
              </c:ext>
            </c:extLst>
          </c:dPt>
          <c:dPt>
            <c:idx val="3"/>
            <c:bubble3D val="0"/>
            <c:spPr>
              <a:solidFill>
                <a:schemeClr val="accent4"/>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7-46EC-429B-A300-8F9A935A2354}"/>
              </c:ext>
            </c:extLst>
          </c:dPt>
          <c:dPt>
            <c:idx val="4"/>
            <c:bubble3D val="0"/>
            <c:spPr>
              <a:solidFill>
                <a:schemeClr val="accent5"/>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9-46EC-429B-A300-8F9A935A2354}"/>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Sheet2!$A$77:$A$82</c:f>
              <c:strCache>
                <c:ptCount val="5"/>
                <c:pt idx="0">
                  <c:v>Afternoon</c:v>
                </c:pt>
                <c:pt idx="1">
                  <c:v>Evening</c:v>
                </c:pt>
                <c:pt idx="2">
                  <c:v>Midnight</c:v>
                </c:pt>
                <c:pt idx="3">
                  <c:v>Morning</c:v>
                </c:pt>
                <c:pt idx="4">
                  <c:v>Night</c:v>
                </c:pt>
              </c:strCache>
            </c:strRef>
          </c:cat>
          <c:val>
            <c:numRef>
              <c:f>Sheet2!$B$77:$B$82</c:f>
              <c:numCache>
                <c:formatCode>General</c:formatCode>
                <c:ptCount val="5"/>
                <c:pt idx="0">
                  <c:v>1714</c:v>
                </c:pt>
                <c:pt idx="1">
                  <c:v>1540</c:v>
                </c:pt>
                <c:pt idx="2">
                  <c:v>1575</c:v>
                </c:pt>
                <c:pt idx="3">
                  <c:v>1574</c:v>
                </c:pt>
                <c:pt idx="4">
                  <c:v>1759</c:v>
                </c:pt>
              </c:numCache>
            </c:numRef>
          </c:val>
          <c:extLst>
            <c:ext xmlns:c16="http://schemas.microsoft.com/office/drawing/2014/chart" uri="{C3380CC4-5D6E-409C-BE32-E72D297353CC}">
              <c16:uniqueId val="{0000000A-46EC-429B-A300-8F9A935A2354}"/>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[sales.xlsx]Sheet2!PivotTable9</c:name>
    <c:fmtId val="1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Tren Pendapatan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Sheet2!$B$88</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multiLvlStrRef>
              <c:f>Sheet2!$A$89:$A$103</c:f>
              <c:multiLvlStrCache>
                <c:ptCount val="12"/>
                <c:lvl>
                  <c:pt idx="0">
                    <c:v>Apr</c:v>
                  </c:pt>
                  <c:pt idx="1">
                    <c:v>May</c:v>
                  </c:pt>
                  <c:pt idx="2">
                    <c:v>Jun</c:v>
                  </c:pt>
                  <c:pt idx="3">
                    <c:v>Jul</c:v>
                  </c:pt>
                  <c:pt idx="4">
                    <c:v>Aug</c:v>
                  </c:pt>
                  <c:pt idx="5">
                    <c:v>Sep</c:v>
                  </c:pt>
                  <c:pt idx="6">
                    <c:v>Oct</c:v>
                  </c:pt>
                  <c:pt idx="7">
                    <c:v>Nov</c:v>
                  </c:pt>
                  <c:pt idx="8">
                    <c:v>Dec</c:v>
                  </c:pt>
                  <c:pt idx="9">
                    <c:v>Jan</c:v>
                  </c:pt>
                  <c:pt idx="10">
                    <c:v>Feb</c:v>
                  </c:pt>
                  <c:pt idx="11">
                    <c:v>Mar</c:v>
                  </c:pt>
                </c:lvl>
                <c:lvl>
                  <c:pt idx="0">
                    <c:v>2022</c:v>
                  </c:pt>
                  <c:pt idx="9">
                    <c:v>2023</c:v>
                  </c:pt>
                </c:lvl>
              </c:multiLvlStrCache>
            </c:multiLvlStrRef>
          </c:cat>
          <c:val>
            <c:numRef>
              <c:f>Sheet2!$B$89:$B$103</c:f>
              <c:numCache>
                <c:formatCode>"$"#,##0.00</c:formatCode>
                <c:ptCount val="12"/>
                <c:pt idx="0">
                  <c:v>17670</c:v>
                </c:pt>
                <c:pt idx="1">
                  <c:v>26570</c:v>
                </c:pt>
                <c:pt idx="2">
                  <c:v>17335</c:v>
                </c:pt>
                <c:pt idx="3">
                  <c:v>19490</c:v>
                </c:pt>
                <c:pt idx="4">
                  <c:v>22305</c:v>
                </c:pt>
                <c:pt idx="5">
                  <c:v>18640</c:v>
                </c:pt>
                <c:pt idx="6">
                  <c:v>27205</c:v>
                </c:pt>
                <c:pt idx="7">
                  <c:v>22900</c:v>
                </c:pt>
                <c:pt idx="8">
                  <c:v>23460</c:v>
                </c:pt>
                <c:pt idx="9">
                  <c:v>28670</c:v>
                </c:pt>
                <c:pt idx="10">
                  <c:v>25595</c:v>
                </c:pt>
                <c:pt idx="11">
                  <c:v>25390</c:v>
                </c:pt>
              </c:numCache>
            </c:numRef>
          </c:val>
          <c:smooth val="0"/>
          <c:extLst>
            <c:ext xmlns:c16="http://schemas.microsoft.com/office/drawing/2014/chart" uri="{C3380CC4-5D6E-409C-BE32-E72D297353CC}">
              <c16:uniqueId val="{00000000-6978-4FF1-B60A-1EA5ADE37522}"/>
            </c:ext>
          </c:extLst>
        </c:ser>
        <c:dLbls>
          <c:showLegendKey val="0"/>
          <c:showVal val="0"/>
          <c:showCatName val="0"/>
          <c:showSerName val="0"/>
          <c:showPercent val="0"/>
          <c:showBubbleSize val="0"/>
        </c:dLbls>
        <c:marker val="1"/>
        <c:smooth val="0"/>
        <c:axId val="713124192"/>
        <c:axId val="713124672"/>
      </c:lineChart>
      <c:catAx>
        <c:axId val="7131241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13124672"/>
        <c:crosses val="autoZero"/>
        <c:auto val="1"/>
        <c:lblAlgn val="ctr"/>
        <c:lblOffset val="100"/>
        <c:noMultiLvlLbl val="0"/>
      </c:catAx>
      <c:valAx>
        <c:axId val="713124672"/>
        <c:scaling>
          <c:orientation val="minMax"/>
        </c:scaling>
        <c:delete val="0"/>
        <c:axPos val="l"/>
        <c:majorGridlines>
          <c:spPr>
            <a:ln w="9525" cap="flat" cmpd="sng" algn="ctr">
              <a:solidFill>
                <a:schemeClr val="tx1">
                  <a:lumMod val="15000"/>
                  <a:lumOff val="85000"/>
                </a:schemeClr>
              </a:solidFill>
              <a:round/>
            </a:ln>
            <a:effectLst/>
          </c:spPr>
        </c:majorGridlines>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crossAx val="7131241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7">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lumOff val="2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4.xml><?xml version="1.0" encoding="utf-8"?>
<cs:chartStyle xmlns:cs="http://schemas.microsoft.com/office/drawing/2012/chartStyle" xmlns:a="http://schemas.openxmlformats.org/drawingml/2006/main" id="207">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lumOff val="2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5.xml><?xml version="1.0" encoding="utf-8"?>
<cs:chartStyle xmlns:cs="http://schemas.microsoft.com/office/drawing/2012/chartStyle" xmlns:a="http://schemas.openxmlformats.org/drawingml/2006/main" id="207">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lumOff val="2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6.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7">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lumOff val="2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11.xml><?xml version="1.0" encoding="utf-8"?>
<cs:chartStyle xmlns:cs="http://schemas.microsoft.com/office/drawing/2012/chartStyle" xmlns:a="http://schemas.openxmlformats.org/drawingml/2006/main" id="207">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lumOff val="2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12.xml><?xml version="1.0" encoding="utf-8"?>
<cs:chartStyle xmlns:cs="http://schemas.microsoft.com/office/drawing/2012/chartStyle" xmlns:a="http://schemas.openxmlformats.org/drawingml/2006/main" id="207">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lumOff val="2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13.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10.xml"/><Relationship Id="rId7" Type="http://schemas.openxmlformats.org/officeDocument/2006/relationships/chart" Target="../charts/chart14.xml"/><Relationship Id="rId2" Type="http://schemas.openxmlformats.org/officeDocument/2006/relationships/chart" Target="../charts/chart9.xml"/><Relationship Id="rId1" Type="http://schemas.openxmlformats.org/officeDocument/2006/relationships/chart" Target="../charts/chart8.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dr:twoCellAnchor>
    <xdr:from>
      <xdr:col>2</xdr:col>
      <xdr:colOff>590550</xdr:colOff>
      <xdr:row>11</xdr:row>
      <xdr:rowOff>158750</xdr:rowOff>
    </xdr:from>
    <xdr:to>
      <xdr:col>9</xdr:col>
      <xdr:colOff>247650</xdr:colOff>
      <xdr:row>23</xdr:row>
      <xdr:rowOff>88900</xdr:rowOff>
    </xdr:to>
    <xdr:graphicFrame macro="">
      <xdr:nvGraphicFramePr>
        <xdr:cNvPr id="2" name="Chart 1">
          <a:extLst>
            <a:ext uri="{FF2B5EF4-FFF2-40B4-BE49-F238E27FC236}">
              <a16:creationId xmlns:a16="http://schemas.microsoft.com/office/drawing/2014/main" id="{C095A938-FC0F-B506-DEC7-925D9EBBE0C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508000</xdr:colOff>
      <xdr:row>23</xdr:row>
      <xdr:rowOff>171450</xdr:rowOff>
    </xdr:from>
    <xdr:to>
      <xdr:col>7</xdr:col>
      <xdr:colOff>577850</xdr:colOff>
      <xdr:row>35</xdr:row>
      <xdr:rowOff>6350</xdr:rowOff>
    </xdr:to>
    <xdr:graphicFrame macro="">
      <xdr:nvGraphicFramePr>
        <xdr:cNvPr id="3" name="Chart 2">
          <a:extLst>
            <a:ext uri="{FF2B5EF4-FFF2-40B4-BE49-F238E27FC236}">
              <a16:creationId xmlns:a16="http://schemas.microsoft.com/office/drawing/2014/main" id="{C99ED9C9-3905-7E2B-00EF-8FFB1A199FE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457200</xdr:colOff>
      <xdr:row>36</xdr:row>
      <xdr:rowOff>127000</xdr:rowOff>
    </xdr:from>
    <xdr:to>
      <xdr:col>8</xdr:col>
      <xdr:colOff>31750</xdr:colOff>
      <xdr:row>46</xdr:row>
      <xdr:rowOff>82550</xdr:rowOff>
    </xdr:to>
    <xdr:graphicFrame macro="">
      <xdr:nvGraphicFramePr>
        <xdr:cNvPr id="4" name="Chart 3">
          <a:extLst>
            <a:ext uri="{FF2B5EF4-FFF2-40B4-BE49-F238E27FC236}">
              <a16:creationId xmlns:a16="http://schemas.microsoft.com/office/drawing/2014/main" id="{CCF12324-42F4-A3CC-C2E9-CDD76C8099F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463550</xdr:colOff>
      <xdr:row>47</xdr:row>
      <xdr:rowOff>88900</xdr:rowOff>
    </xdr:from>
    <xdr:to>
      <xdr:col>8</xdr:col>
      <xdr:colOff>228600</xdr:colOff>
      <xdr:row>57</xdr:row>
      <xdr:rowOff>139700</xdr:rowOff>
    </xdr:to>
    <xdr:graphicFrame macro="">
      <xdr:nvGraphicFramePr>
        <xdr:cNvPr id="5" name="Chart 4">
          <a:extLst>
            <a:ext uri="{FF2B5EF4-FFF2-40B4-BE49-F238E27FC236}">
              <a16:creationId xmlns:a16="http://schemas.microsoft.com/office/drawing/2014/main" id="{066ED845-B588-602E-5C3A-CEABAFE55E4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xdr:col>
      <xdr:colOff>368300</xdr:colOff>
      <xdr:row>59</xdr:row>
      <xdr:rowOff>57150</xdr:rowOff>
    </xdr:from>
    <xdr:to>
      <xdr:col>8</xdr:col>
      <xdr:colOff>520700</xdr:colOff>
      <xdr:row>71</xdr:row>
      <xdr:rowOff>152400</xdr:rowOff>
    </xdr:to>
    <xdr:graphicFrame macro="">
      <xdr:nvGraphicFramePr>
        <xdr:cNvPr id="6" name="Chart 5">
          <a:extLst>
            <a:ext uri="{FF2B5EF4-FFF2-40B4-BE49-F238E27FC236}">
              <a16:creationId xmlns:a16="http://schemas.microsoft.com/office/drawing/2014/main" id="{B862B170-6FCD-343E-4BFF-8BC8883AA5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xdr:col>
      <xdr:colOff>495300</xdr:colOff>
      <xdr:row>73</xdr:row>
      <xdr:rowOff>44450</xdr:rowOff>
    </xdr:from>
    <xdr:to>
      <xdr:col>7</xdr:col>
      <xdr:colOff>381000</xdr:colOff>
      <xdr:row>83</xdr:row>
      <xdr:rowOff>107950</xdr:rowOff>
    </xdr:to>
    <xdr:graphicFrame macro="">
      <xdr:nvGraphicFramePr>
        <xdr:cNvPr id="7" name="Chart 6">
          <a:extLst>
            <a:ext uri="{FF2B5EF4-FFF2-40B4-BE49-F238E27FC236}">
              <a16:creationId xmlns:a16="http://schemas.microsoft.com/office/drawing/2014/main" id="{34F45AFF-BCA3-3F07-07F4-54A98E48368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xdr:col>
      <xdr:colOff>495300</xdr:colOff>
      <xdr:row>88</xdr:row>
      <xdr:rowOff>19050</xdr:rowOff>
    </xdr:from>
    <xdr:to>
      <xdr:col>9</xdr:col>
      <xdr:colOff>444500</xdr:colOff>
      <xdr:row>100</xdr:row>
      <xdr:rowOff>177800</xdr:rowOff>
    </xdr:to>
    <xdr:graphicFrame macro="">
      <xdr:nvGraphicFramePr>
        <xdr:cNvPr id="8" name="Chart 7">
          <a:extLst>
            <a:ext uri="{FF2B5EF4-FFF2-40B4-BE49-F238E27FC236}">
              <a16:creationId xmlns:a16="http://schemas.microsoft.com/office/drawing/2014/main" id="{9B658695-0D5F-8554-F474-10A7A20F4D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4</xdr:col>
      <xdr:colOff>278221</xdr:colOff>
      <xdr:row>10</xdr:row>
      <xdr:rowOff>165306</xdr:rowOff>
    </xdr:from>
    <xdr:to>
      <xdr:col>8</xdr:col>
      <xdr:colOff>100795</xdr:colOff>
      <xdr:row>19</xdr:row>
      <xdr:rowOff>125489</xdr:rowOff>
    </xdr:to>
    <xdr:graphicFrame macro="">
      <xdr:nvGraphicFramePr>
        <xdr:cNvPr id="2" name="Chart 1">
          <a:extLst>
            <a:ext uri="{FF2B5EF4-FFF2-40B4-BE49-F238E27FC236}">
              <a16:creationId xmlns:a16="http://schemas.microsoft.com/office/drawing/2014/main" id="{5B4C0765-2A49-4E33-B84F-BE9D9273645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13</xdr:col>
      <xdr:colOff>69718</xdr:colOff>
      <xdr:row>10</xdr:row>
      <xdr:rowOff>95250</xdr:rowOff>
    </xdr:from>
    <xdr:to>
      <xdr:col>16</xdr:col>
      <xdr:colOff>426862</xdr:colOff>
      <xdr:row>19</xdr:row>
      <xdr:rowOff>74082</xdr:rowOff>
    </xdr:to>
    <xdr:graphicFrame macro="">
      <xdr:nvGraphicFramePr>
        <xdr:cNvPr id="3" name="Chart 2">
          <a:extLst>
            <a:ext uri="{FF2B5EF4-FFF2-40B4-BE49-F238E27FC236}">
              <a16:creationId xmlns:a16="http://schemas.microsoft.com/office/drawing/2014/main" id="{B2E82DEF-AE12-49A1-9737-976A1B4929D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68401</xdr:colOff>
      <xdr:row>20</xdr:row>
      <xdr:rowOff>1395</xdr:rowOff>
    </xdr:from>
    <xdr:to>
      <xdr:col>9</xdr:col>
      <xdr:colOff>252551</xdr:colOff>
      <xdr:row>29</xdr:row>
      <xdr:rowOff>132455</xdr:rowOff>
    </xdr:to>
    <xdr:graphicFrame macro="">
      <xdr:nvGraphicFramePr>
        <xdr:cNvPr id="4" name="Chart 3">
          <a:extLst>
            <a:ext uri="{FF2B5EF4-FFF2-40B4-BE49-F238E27FC236}">
              <a16:creationId xmlns:a16="http://schemas.microsoft.com/office/drawing/2014/main" id="{7E5998CF-C913-4F7E-BC5D-BE666B11D7E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216706</xdr:colOff>
      <xdr:row>10</xdr:row>
      <xdr:rowOff>116974</xdr:rowOff>
    </xdr:from>
    <xdr:to>
      <xdr:col>12</xdr:col>
      <xdr:colOff>446108</xdr:colOff>
      <xdr:row>19</xdr:row>
      <xdr:rowOff>104321</xdr:rowOff>
    </xdr:to>
    <xdr:graphicFrame macro="">
      <xdr:nvGraphicFramePr>
        <xdr:cNvPr id="5" name="Chart 4">
          <a:extLst>
            <a:ext uri="{FF2B5EF4-FFF2-40B4-BE49-F238E27FC236}">
              <a16:creationId xmlns:a16="http://schemas.microsoft.com/office/drawing/2014/main" id="{8F3256DD-25FB-4B50-B91E-8740F0674F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10</xdr:col>
      <xdr:colOff>67025</xdr:colOff>
      <xdr:row>20</xdr:row>
      <xdr:rowOff>47103</xdr:rowOff>
    </xdr:from>
    <xdr:to>
      <xdr:col>15</xdr:col>
      <xdr:colOff>369310</xdr:colOff>
      <xdr:row>29</xdr:row>
      <xdr:rowOff>129766</xdr:rowOff>
    </xdr:to>
    <xdr:graphicFrame macro="">
      <xdr:nvGraphicFramePr>
        <xdr:cNvPr id="6" name="Chart 5">
          <a:extLst>
            <a:ext uri="{FF2B5EF4-FFF2-40B4-BE49-F238E27FC236}">
              <a16:creationId xmlns:a16="http://schemas.microsoft.com/office/drawing/2014/main" id="{C0B27978-CB80-40DD-BA05-A0E4C6D5D1D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12</xdr:col>
      <xdr:colOff>166751</xdr:colOff>
      <xdr:row>30</xdr:row>
      <xdr:rowOff>128783</xdr:rowOff>
    </xdr:from>
    <xdr:to>
      <xdr:col>16</xdr:col>
      <xdr:colOff>430462</xdr:colOff>
      <xdr:row>39</xdr:row>
      <xdr:rowOff>76755</xdr:rowOff>
    </xdr:to>
    <xdr:graphicFrame macro="">
      <xdr:nvGraphicFramePr>
        <xdr:cNvPr id="7" name="Chart 6">
          <a:extLst>
            <a:ext uri="{FF2B5EF4-FFF2-40B4-BE49-F238E27FC236}">
              <a16:creationId xmlns:a16="http://schemas.microsoft.com/office/drawing/2014/main" id="{20CAC93B-4C81-4913-AE8E-CA294301A2F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3</xdr:col>
      <xdr:colOff>485311</xdr:colOff>
      <xdr:row>30</xdr:row>
      <xdr:rowOff>56411</xdr:rowOff>
    </xdr:from>
    <xdr:to>
      <xdr:col>12</xdr:col>
      <xdr:colOff>49393</xdr:colOff>
      <xdr:row>39</xdr:row>
      <xdr:rowOff>119811</xdr:rowOff>
    </xdr:to>
    <xdr:graphicFrame macro="">
      <xdr:nvGraphicFramePr>
        <xdr:cNvPr id="8" name="Chart 7">
          <a:extLst>
            <a:ext uri="{FF2B5EF4-FFF2-40B4-BE49-F238E27FC236}">
              <a16:creationId xmlns:a16="http://schemas.microsoft.com/office/drawing/2014/main" id="{18E37C40-BE81-4EA1-84C2-38B17FF0BEE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0</xdr:col>
      <xdr:colOff>90714</xdr:colOff>
      <xdr:row>3</xdr:row>
      <xdr:rowOff>179158</xdr:rowOff>
    </xdr:from>
    <xdr:to>
      <xdr:col>3</xdr:col>
      <xdr:colOff>227998</xdr:colOff>
      <xdr:row>16</xdr:row>
      <xdr:rowOff>1192</xdr:rowOff>
    </xdr:to>
    <mc:AlternateContent xmlns:mc="http://schemas.openxmlformats.org/markup-compatibility/2006">
      <mc:Choice xmlns:a14="http://schemas.microsoft.com/office/drawing/2010/main" Requires="a14">
        <xdr:graphicFrame macro="">
          <xdr:nvGraphicFramePr>
            <xdr:cNvPr id="9" name="item_name">
              <a:extLst>
                <a:ext uri="{FF2B5EF4-FFF2-40B4-BE49-F238E27FC236}">
                  <a16:creationId xmlns:a16="http://schemas.microsoft.com/office/drawing/2014/main" id="{B4B9DC6A-35BD-3407-9A80-5675396DF76F}"/>
                </a:ext>
              </a:extLst>
            </xdr:cNvPr>
            <xdr:cNvGraphicFramePr/>
          </xdr:nvGraphicFramePr>
          <xdr:xfrm>
            <a:off x="0" y="0"/>
            <a:ext cx="0" cy="0"/>
          </xdr:xfrm>
          <a:graphic>
            <a:graphicData uri="http://schemas.microsoft.com/office/drawing/2010/slicer">
              <sle:slicer xmlns:sle="http://schemas.microsoft.com/office/drawing/2010/slicer" name="item_name"/>
            </a:graphicData>
          </a:graphic>
        </xdr:graphicFrame>
      </mc:Choice>
      <mc:Fallback>
        <xdr:sp macro="" textlink="">
          <xdr:nvSpPr>
            <xdr:cNvPr id="0" name=""/>
            <xdr:cNvSpPr>
              <a:spLocks noTextEdit="1"/>
            </xdr:cNvSpPr>
          </xdr:nvSpPr>
          <xdr:spPr>
            <a:xfrm>
              <a:off x="90714" y="747316"/>
              <a:ext cx="1808337" cy="228405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99180</xdr:colOff>
      <xdr:row>16</xdr:row>
      <xdr:rowOff>122205</xdr:rowOff>
    </xdr:from>
    <xdr:to>
      <xdr:col>3</xdr:col>
      <xdr:colOff>235946</xdr:colOff>
      <xdr:row>21</xdr:row>
      <xdr:rowOff>149931</xdr:rowOff>
    </xdr:to>
    <mc:AlternateContent xmlns:mc="http://schemas.openxmlformats.org/markup-compatibility/2006">
      <mc:Choice xmlns:a14="http://schemas.microsoft.com/office/drawing/2010/main" Requires="a14">
        <xdr:graphicFrame macro="">
          <xdr:nvGraphicFramePr>
            <xdr:cNvPr id="10" name="item_type">
              <a:extLst>
                <a:ext uri="{FF2B5EF4-FFF2-40B4-BE49-F238E27FC236}">
                  <a16:creationId xmlns:a16="http://schemas.microsoft.com/office/drawing/2014/main" id="{653FBBD0-38B5-5630-3163-8BCAD31DE5AA}"/>
                </a:ext>
              </a:extLst>
            </xdr:cNvPr>
            <xdr:cNvGraphicFramePr/>
          </xdr:nvGraphicFramePr>
          <xdr:xfrm>
            <a:off x="0" y="0"/>
            <a:ext cx="0" cy="0"/>
          </xdr:xfrm>
          <a:graphic>
            <a:graphicData uri="http://schemas.microsoft.com/office/drawing/2010/slicer">
              <sle:slicer xmlns:sle="http://schemas.microsoft.com/office/drawing/2010/slicer" name="item_type"/>
            </a:graphicData>
          </a:graphic>
        </xdr:graphicFrame>
      </mc:Choice>
      <mc:Fallback>
        <xdr:sp macro="" textlink="">
          <xdr:nvSpPr>
            <xdr:cNvPr id="0" name=""/>
            <xdr:cNvSpPr>
              <a:spLocks noTextEdit="1"/>
            </xdr:cNvSpPr>
          </xdr:nvSpPr>
          <xdr:spPr>
            <a:xfrm>
              <a:off x="99180" y="3152380"/>
              <a:ext cx="1807819" cy="97465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129592</xdr:colOff>
      <xdr:row>22</xdr:row>
      <xdr:rowOff>60292</xdr:rowOff>
    </xdr:from>
    <xdr:to>
      <xdr:col>3</xdr:col>
      <xdr:colOff>266876</xdr:colOff>
      <xdr:row>28</xdr:row>
      <xdr:rowOff>81729</xdr:rowOff>
    </xdr:to>
    <mc:AlternateContent xmlns:mc="http://schemas.openxmlformats.org/markup-compatibility/2006">
      <mc:Choice xmlns:a14="http://schemas.microsoft.com/office/drawing/2010/main" Requires="a14">
        <xdr:graphicFrame macro="">
          <xdr:nvGraphicFramePr>
            <xdr:cNvPr id="11" name="transaction_type">
              <a:extLst>
                <a:ext uri="{FF2B5EF4-FFF2-40B4-BE49-F238E27FC236}">
                  <a16:creationId xmlns:a16="http://schemas.microsoft.com/office/drawing/2014/main" id="{D2395FF0-D117-BAEA-3377-A21BD3191A35}"/>
                </a:ext>
              </a:extLst>
            </xdr:cNvPr>
            <xdr:cNvGraphicFramePr/>
          </xdr:nvGraphicFramePr>
          <xdr:xfrm>
            <a:off x="0" y="0"/>
            <a:ext cx="0" cy="0"/>
          </xdr:xfrm>
          <a:graphic>
            <a:graphicData uri="http://schemas.microsoft.com/office/drawing/2010/slicer">
              <sle:slicer xmlns:sle="http://schemas.microsoft.com/office/drawing/2010/slicer" name="transaction_type"/>
            </a:graphicData>
          </a:graphic>
        </xdr:graphicFrame>
      </mc:Choice>
      <mc:Fallback>
        <xdr:sp macro="" textlink="">
          <xdr:nvSpPr>
            <xdr:cNvPr id="0" name=""/>
            <xdr:cNvSpPr>
              <a:spLocks noTextEdit="1"/>
            </xdr:cNvSpPr>
          </xdr:nvSpPr>
          <xdr:spPr>
            <a:xfrm>
              <a:off x="129592" y="4226783"/>
              <a:ext cx="1808337" cy="115775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129592</xdr:colOff>
      <xdr:row>29</xdr:row>
      <xdr:rowOff>27617</xdr:rowOff>
    </xdr:from>
    <xdr:to>
      <xdr:col>3</xdr:col>
      <xdr:colOff>266876</xdr:colOff>
      <xdr:row>38</xdr:row>
      <xdr:rowOff>97028</xdr:rowOff>
    </xdr:to>
    <mc:AlternateContent xmlns:mc="http://schemas.openxmlformats.org/markup-compatibility/2006">
      <mc:Choice xmlns:a14="http://schemas.microsoft.com/office/drawing/2010/main" Requires="a14">
        <xdr:graphicFrame macro="">
          <xdr:nvGraphicFramePr>
            <xdr:cNvPr id="12" name="time_of_sale">
              <a:extLst>
                <a:ext uri="{FF2B5EF4-FFF2-40B4-BE49-F238E27FC236}">
                  <a16:creationId xmlns:a16="http://schemas.microsoft.com/office/drawing/2014/main" id="{8E2EA4BD-F3BF-CF58-5DD4-06416DA58824}"/>
                </a:ext>
              </a:extLst>
            </xdr:cNvPr>
            <xdr:cNvGraphicFramePr/>
          </xdr:nvGraphicFramePr>
          <xdr:xfrm>
            <a:off x="0" y="0"/>
            <a:ext cx="0" cy="0"/>
          </xdr:xfrm>
          <a:graphic>
            <a:graphicData uri="http://schemas.microsoft.com/office/drawing/2010/slicer">
              <sle:slicer xmlns:sle="http://schemas.microsoft.com/office/drawing/2010/slicer" name="time_of_sale"/>
            </a:graphicData>
          </a:graphic>
        </xdr:graphicFrame>
      </mc:Choice>
      <mc:Fallback>
        <xdr:sp macro="" textlink="">
          <xdr:nvSpPr>
            <xdr:cNvPr id="0" name=""/>
            <xdr:cNvSpPr>
              <a:spLocks noTextEdit="1"/>
            </xdr:cNvSpPr>
          </xdr:nvSpPr>
          <xdr:spPr>
            <a:xfrm>
              <a:off x="129592" y="5519810"/>
              <a:ext cx="1808337" cy="177388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308128</xdr:colOff>
      <xdr:row>4</xdr:row>
      <xdr:rowOff>0</xdr:rowOff>
    </xdr:from>
    <xdr:to>
      <xdr:col>10</xdr:col>
      <xdr:colOff>281495</xdr:colOff>
      <xdr:row>10</xdr:row>
      <xdr:rowOff>19639</xdr:rowOff>
    </xdr:to>
    <mc:AlternateContent xmlns:mc="http://schemas.openxmlformats.org/markup-compatibility/2006">
      <mc:Choice xmlns:tsle="http://schemas.microsoft.com/office/drawing/2012/timeslicer" Requires="tsle">
        <xdr:graphicFrame macro="">
          <xdr:nvGraphicFramePr>
            <xdr:cNvPr id="13" name="order_date">
              <a:extLst>
                <a:ext uri="{FF2B5EF4-FFF2-40B4-BE49-F238E27FC236}">
                  <a16:creationId xmlns:a16="http://schemas.microsoft.com/office/drawing/2014/main" id="{E14D3EB7-EEAF-3BF7-9312-2DB9F9ACEDC3}"/>
                </a:ext>
              </a:extLst>
            </xdr:cNvPr>
            <xdr:cNvGraphicFramePr/>
          </xdr:nvGraphicFramePr>
          <xdr:xfrm>
            <a:off x="0" y="0"/>
            <a:ext cx="0" cy="0"/>
          </xdr:xfrm>
          <a:graphic>
            <a:graphicData uri="http://schemas.microsoft.com/office/drawing/2012/timeslicer">
              <tsle:timeslicer xmlns:tsle="http://schemas.microsoft.com/office/drawing/2012/timeslicer" name="order_date"/>
            </a:graphicData>
          </a:graphic>
        </xdr:graphicFrame>
      </mc:Choice>
      <mc:Fallback>
        <xdr:sp macro="" textlink="">
          <xdr:nvSpPr>
            <xdr:cNvPr id="0" name=""/>
            <xdr:cNvSpPr>
              <a:spLocks noTextEdit="1"/>
            </xdr:cNvSpPr>
          </xdr:nvSpPr>
          <xdr:spPr>
            <a:xfrm>
              <a:off x="1979181" y="757544"/>
              <a:ext cx="3872489" cy="1155955"/>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VAN" refreshedDate="46014.610422453705" createdVersion="8" refreshedVersion="8" minRefreshableVersion="3" recordCount="1000" xr:uid="{829CB5ED-E0DB-4F26-95E7-1F68D4D67899}">
  <cacheSource type="worksheet">
    <worksheetSource name="Table1"/>
  </cacheSource>
  <cacheFields count="13">
    <cacheField name="order_id" numFmtId="0">
      <sharedItems containsSemiMixedTypes="0" containsString="0" containsNumber="1" containsInteger="1" minValue="1" maxValue="1000" count="100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n v="201"/>
        <n v="202"/>
        <n v="203"/>
        <n v="204"/>
        <n v="205"/>
        <n v="206"/>
        <n v="207"/>
        <n v="208"/>
        <n v="209"/>
        <n v="210"/>
        <n v="211"/>
        <n v="212"/>
        <n v="213"/>
        <n v="214"/>
        <n v="215"/>
        <n v="216"/>
        <n v="217"/>
        <n v="218"/>
        <n v="219"/>
        <n v="220"/>
        <n v="221"/>
        <n v="222"/>
        <n v="223"/>
        <n v="224"/>
        <n v="225"/>
        <n v="226"/>
        <n v="227"/>
        <n v="228"/>
        <n v="229"/>
        <n v="230"/>
        <n v="231"/>
        <n v="232"/>
        <n v="233"/>
        <n v="234"/>
        <n v="235"/>
        <n v="236"/>
        <n v="237"/>
        <n v="238"/>
        <n v="239"/>
        <n v="240"/>
        <n v="241"/>
        <n v="242"/>
        <n v="243"/>
        <n v="244"/>
        <n v="245"/>
        <n v="246"/>
        <n v="247"/>
        <n v="248"/>
        <n v="249"/>
        <n v="250"/>
        <n v="251"/>
        <n v="252"/>
        <n v="253"/>
        <n v="254"/>
        <n v="255"/>
        <n v="256"/>
        <n v="257"/>
        <n v="258"/>
        <n v="259"/>
        <n v="260"/>
        <n v="261"/>
        <n v="262"/>
        <n v="263"/>
        <n v="264"/>
        <n v="265"/>
        <n v="266"/>
        <n v="267"/>
        <n v="268"/>
        <n v="269"/>
        <n v="270"/>
        <n v="271"/>
        <n v="272"/>
        <n v="273"/>
        <n v="274"/>
        <n v="275"/>
        <n v="276"/>
        <n v="277"/>
        <n v="278"/>
        <n v="279"/>
        <n v="280"/>
        <n v="281"/>
        <n v="282"/>
        <n v="283"/>
        <n v="284"/>
        <n v="285"/>
        <n v="286"/>
        <n v="287"/>
        <n v="288"/>
        <n v="289"/>
        <n v="290"/>
        <n v="291"/>
        <n v="292"/>
        <n v="293"/>
        <n v="294"/>
        <n v="295"/>
        <n v="296"/>
        <n v="297"/>
        <n v="298"/>
        <n v="299"/>
        <n v="300"/>
        <n v="301"/>
        <n v="302"/>
        <n v="303"/>
        <n v="304"/>
        <n v="305"/>
        <n v="306"/>
        <n v="307"/>
        <n v="308"/>
        <n v="309"/>
        <n v="310"/>
        <n v="311"/>
        <n v="312"/>
        <n v="313"/>
        <n v="314"/>
        <n v="315"/>
        <n v="316"/>
        <n v="317"/>
        <n v="318"/>
        <n v="319"/>
        <n v="320"/>
        <n v="321"/>
        <n v="322"/>
        <n v="323"/>
        <n v="324"/>
        <n v="325"/>
        <n v="326"/>
        <n v="327"/>
        <n v="328"/>
        <n v="329"/>
        <n v="330"/>
        <n v="331"/>
        <n v="332"/>
        <n v="333"/>
        <n v="334"/>
        <n v="335"/>
        <n v="336"/>
        <n v="337"/>
        <n v="338"/>
        <n v="339"/>
        <n v="340"/>
        <n v="341"/>
        <n v="342"/>
        <n v="343"/>
        <n v="344"/>
        <n v="345"/>
        <n v="346"/>
        <n v="347"/>
        <n v="348"/>
        <n v="349"/>
        <n v="350"/>
        <n v="351"/>
        <n v="352"/>
        <n v="353"/>
        <n v="354"/>
        <n v="355"/>
        <n v="356"/>
        <n v="357"/>
        <n v="358"/>
        <n v="359"/>
        <n v="360"/>
        <n v="361"/>
        <n v="362"/>
        <n v="363"/>
        <n v="364"/>
        <n v="365"/>
        <n v="366"/>
        <n v="367"/>
        <n v="368"/>
        <n v="369"/>
        <n v="370"/>
        <n v="371"/>
        <n v="372"/>
        <n v="373"/>
        <n v="374"/>
        <n v="375"/>
        <n v="376"/>
        <n v="377"/>
        <n v="378"/>
        <n v="379"/>
        <n v="380"/>
        <n v="381"/>
        <n v="382"/>
        <n v="383"/>
        <n v="384"/>
        <n v="385"/>
        <n v="386"/>
        <n v="387"/>
        <n v="388"/>
        <n v="389"/>
        <n v="390"/>
        <n v="391"/>
        <n v="392"/>
        <n v="393"/>
        <n v="394"/>
        <n v="395"/>
        <n v="396"/>
        <n v="397"/>
        <n v="398"/>
        <n v="399"/>
        <n v="400"/>
        <n v="401"/>
        <n v="402"/>
        <n v="403"/>
        <n v="404"/>
        <n v="405"/>
        <n v="406"/>
        <n v="407"/>
        <n v="408"/>
        <n v="409"/>
        <n v="410"/>
        <n v="411"/>
        <n v="412"/>
        <n v="413"/>
        <n v="414"/>
        <n v="415"/>
        <n v="416"/>
        <n v="417"/>
        <n v="418"/>
        <n v="419"/>
        <n v="420"/>
        <n v="421"/>
        <n v="422"/>
        <n v="423"/>
        <n v="424"/>
        <n v="425"/>
        <n v="426"/>
        <n v="427"/>
        <n v="428"/>
        <n v="429"/>
        <n v="430"/>
        <n v="431"/>
        <n v="432"/>
        <n v="433"/>
        <n v="434"/>
        <n v="435"/>
        <n v="436"/>
        <n v="437"/>
        <n v="438"/>
        <n v="439"/>
        <n v="440"/>
        <n v="441"/>
        <n v="442"/>
        <n v="443"/>
        <n v="444"/>
        <n v="445"/>
        <n v="446"/>
        <n v="447"/>
        <n v="448"/>
        <n v="449"/>
        <n v="450"/>
        <n v="451"/>
        <n v="452"/>
        <n v="453"/>
        <n v="454"/>
        <n v="455"/>
        <n v="456"/>
        <n v="457"/>
        <n v="458"/>
        <n v="459"/>
        <n v="460"/>
        <n v="461"/>
        <n v="462"/>
        <n v="463"/>
        <n v="464"/>
        <n v="465"/>
        <n v="466"/>
        <n v="467"/>
        <n v="468"/>
        <n v="469"/>
        <n v="470"/>
        <n v="471"/>
        <n v="472"/>
        <n v="473"/>
        <n v="474"/>
        <n v="475"/>
        <n v="476"/>
        <n v="477"/>
        <n v="478"/>
        <n v="479"/>
        <n v="480"/>
        <n v="481"/>
        <n v="482"/>
        <n v="483"/>
        <n v="484"/>
        <n v="485"/>
        <n v="486"/>
        <n v="487"/>
        <n v="488"/>
        <n v="489"/>
        <n v="490"/>
        <n v="491"/>
        <n v="492"/>
        <n v="493"/>
        <n v="494"/>
        <n v="495"/>
        <n v="496"/>
        <n v="497"/>
        <n v="498"/>
        <n v="499"/>
        <n v="500"/>
        <n v="501"/>
        <n v="502"/>
        <n v="503"/>
        <n v="504"/>
        <n v="505"/>
        <n v="506"/>
        <n v="507"/>
        <n v="508"/>
        <n v="509"/>
        <n v="510"/>
        <n v="511"/>
        <n v="512"/>
        <n v="513"/>
        <n v="514"/>
        <n v="515"/>
        <n v="516"/>
        <n v="517"/>
        <n v="518"/>
        <n v="519"/>
        <n v="520"/>
        <n v="521"/>
        <n v="522"/>
        <n v="523"/>
        <n v="524"/>
        <n v="525"/>
        <n v="526"/>
        <n v="527"/>
        <n v="528"/>
        <n v="529"/>
        <n v="530"/>
        <n v="531"/>
        <n v="532"/>
        <n v="533"/>
        <n v="534"/>
        <n v="535"/>
        <n v="536"/>
        <n v="537"/>
        <n v="538"/>
        <n v="539"/>
        <n v="540"/>
        <n v="541"/>
        <n v="542"/>
        <n v="543"/>
        <n v="544"/>
        <n v="545"/>
        <n v="546"/>
        <n v="547"/>
        <n v="548"/>
        <n v="549"/>
        <n v="550"/>
        <n v="551"/>
        <n v="552"/>
        <n v="553"/>
        <n v="554"/>
        <n v="555"/>
        <n v="556"/>
        <n v="557"/>
        <n v="558"/>
        <n v="559"/>
        <n v="560"/>
        <n v="561"/>
        <n v="562"/>
        <n v="563"/>
        <n v="564"/>
        <n v="565"/>
        <n v="566"/>
        <n v="567"/>
        <n v="568"/>
        <n v="569"/>
        <n v="570"/>
        <n v="571"/>
        <n v="572"/>
        <n v="573"/>
        <n v="574"/>
        <n v="575"/>
        <n v="576"/>
        <n v="577"/>
        <n v="578"/>
        <n v="579"/>
        <n v="580"/>
        <n v="581"/>
        <n v="582"/>
        <n v="583"/>
        <n v="584"/>
        <n v="585"/>
        <n v="586"/>
        <n v="587"/>
        <n v="588"/>
        <n v="589"/>
        <n v="590"/>
        <n v="591"/>
        <n v="592"/>
        <n v="593"/>
        <n v="594"/>
        <n v="595"/>
        <n v="596"/>
        <n v="597"/>
        <n v="598"/>
        <n v="599"/>
        <n v="600"/>
        <n v="601"/>
        <n v="602"/>
        <n v="603"/>
        <n v="604"/>
        <n v="605"/>
        <n v="606"/>
        <n v="607"/>
        <n v="608"/>
        <n v="609"/>
        <n v="610"/>
        <n v="611"/>
        <n v="612"/>
        <n v="613"/>
        <n v="614"/>
        <n v="615"/>
        <n v="616"/>
        <n v="617"/>
        <n v="618"/>
        <n v="619"/>
        <n v="620"/>
        <n v="621"/>
        <n v="622"/>
        <n v="623"/>
        <n v="624"/>
        <n v="625"/>
        <n v="626"/>
        <n v="627"/>
        <n v="628"/>
        <n v="629"/>
        <n v="630"/>
        <n v="631"/>
        <n v="632"/>
        <n v="633"/>
        <n v="634"/>
        <n v="635"/>
        <n v="636"/>
        <n v="637"/>
        <n v="638"/>
        <n v="639"/>
        <n v="640"/>
        <n v="641"/>
        <n v="642"/>
        <n v="643"/>
        <n v="644"/>
        <n v="645"/>
        <n v="646"/>
        <n v="647"/>
        <n v="648"/>
        <n v="649"/>
        <n v="650"/>
        <n v="651"/>
        <n v="652"/>
        <n v="653"/>
        <n v="654"/>
        <n v="655"/>
        <n v="656"/>
        <n v="657"/>
        <n v="658"/>
        <n v="659"/>
        <n v="660"/>
        <n v="661"/>
        <n v="662"/>
        <n v="663"/>
        <n v="664"/>
        <n v="665"/>
        <n v="666"/>
        <n v="667"/>
        <n v="668"/>
        <n v="669"/>
        <n v="670"/>
        <n v="671"/>
        <n v="672"/>
        <n v="673"/>
        <n v="674"/>
        <n v="675"/>
        <n v="676"/>
        <n v="677"/>
        <n v="678"/>
        <n v="679"/>
        <n v="680"/>
        <n v="681"/>
        <n v="682"/>
        <n v="683"/>
        <n v="684"/>
        <n v="685"/>
        <n v="686"/>
        <n v="687"/>
        <n v="688"/>
        <n v="689"/>
        <n v="690"/>
        <n v="691"/>
        <n v="692"/>
        <n v="693"/>
        <n v="694"/>
        <n v="695"/>
        <n v="696"/>
        <n v="697"/>
        <n v="698"/>
        <n v="699"/>
        <n v="700"/>
        <n v="701"/>
        <n v="702"/>
        <n v="703"/>
        <n v="704"/>
        <n v="705"/>
        <n v="706"/>
        <n v="707"/>
        <n v="708"/>
        <n v="709"/>
        <n v="710"/>
        <n v="711"/>
        <n v="712"/>
        <n v="713"/>
        <n v="714"/>
        <n v="715"/>
        <n v="716"/>
        <n v="717"/>
        <n v="718"/>
        <n v="719"/>
        <n v="720"/>
        <n v="721"/>
        <n v="722"/>
        <n v="723"/>
        <n v="724"/>
        <n v="725"/>
        <n v="726"/>
        <n v="727"/>
        <n v="728"/>
        <n v="729"/>
        <n v="730"/>
        <n v="731"/>
        <n v="732"/>
        <n v="733"/>
        <n v="734"/>
        <n v="735"/>
        <n v="736"/>
        <n v="737"/>
        <n v="738"/>
        <n v="739"/>
        <n v="740"/>
        <n v="741"/>
        <n v="742"/>
        <n v="743"/>
        <n v="744"/>
        <n v="745"/>
        <n v="746"/>
        <n v="747"/>
        <n v="748"/>
        <n v="749"/>
        <n v="750"/>
        <n v="751"/>
        <n v="752"/>
        <n v="753"/>
        <n v="754"/>
        <n v="755"/>
        <n v="756"/>
        <n v="757"/>
        <n v="758"/>
        <n v="759"/>
        <n v="760"/>
        <n v="761"/>
        <n v="762"/>
        <n v="763"/>
        <n v="764"/>
        <n v="765"/>
        <n v="766"/>
        <n v="767"/>
        <n v="768"/>
        <n v="769"/>
        <n v="770"/>
        <n v="771"/>
        <n v="772"/>
        <n v="773"/>
        <n v="774"/>
        <n v="775"/>
        <n v="776"/>
        <n v="777"/>
        <n v="778"/>
        <n v="779"/>
        <n v="780"/>
        <n v="781"/>
        <n v="782"/>
        <n v="783"/>
        <n v="784"/>
        <n v="785"/>
        <n v="786"/>
        <n v="787"/>
        <n v="788"/>
        <n v="789"/>
        <n v="790"/>
        <n v="791"/>
        <n v="792"/>
        <n v="793"/>
        <n v="794"/>
        <n v="795"/>
        <n v="796"/>
        <n v="797"/>
        <n v="798"/>
        <n v="799"/>
        <n v="800"/>
        <n v="801"/>
        <n v="802"/>
        <n v="803"/>
        <n v="804"/>
        <n v="805"/>
        <n v="806"/>
        <n v="807"/>
        <n v="808"/>
        <n v="809"/>
        <n v="810"/>
        <n v="811"/>
        <n v="812"/>
        <n v="813"/>
        <n v="814"/>
        <n v="815"/>
        <n v="816"/>
        <n v="817"/>
        <n v="818"/>
        <n v="819"/>
        <n v="820"/>
        <n v="821"/>
        <n v="822"/>
        <n v="823"/>
        <n v="824"/>
        <n v="825"/>
        <n v="826"/>
        <n v="827"/>
        <n v="828"/>
        <n v="829"/>
        <n v="830"/>
        <n v="831"/>
        <n v="832"/>
        <n v="833"/>
        <n v="834"/>
        <n v="835"/>
        <n v="836"/>
        <n v="837"/>
        <n v="838"/>
        <n v="839"/>
        <n v="840"/>
        <n v="841"/>
        <n v="842"/>
        <n v="843"/>
        <n v="844"/>
        <n v="845"/>
        <n v="846"/>
        <n v="847"/>
        <n v="848"/>
        <n v="849"/>
        <n v="850"/>
        <n v="851"/>
        <n v="852"/>
        <n v="853"/>
        <n v="854"/>
        <n v="855"/>
        <n v="856"/>
        <n v="857"/>
        <n v="858"/>
        <n v="859"/>
        <n v="860"/>
        <n v="861"/>
        <n v="862"/>
        <n v="863"/>
        <n v="864"/>
        <n v="865"/>
        <n v="866"/>
        <n v="867"/>
        <n v="868"/>
        <n v="869"/>
        <n v="870"/>
        <n v="871"/>
        <n v="872"/>
        <n v="873"/>
        <n v="874"/>
        <n v="875"/>
        <n v="876"/>
        <n v="877"/>
        <n v="878"/>
        <n v="879"/>
        <n v="880"/>
        <n v="881"/>
        <n v="882"/>
        <n v="883"/>
        <n v="884"/>
        <n v="885"/>
        <n v="886"/>
        <n v="887"/>
        <n v="888"/>
        <n v="889"/>
        <n v="890"/>
        <n v="891"/>
        <n v="892"/>
        <n v="893"/>
        <n v="894"/>
        <n v="895"/>
        <n v="896"/>
        <n v="897"/>
        <n v="898"/>
        <n v="899"/>
        <n v="900"/>
        <n v="901"/>
        <n v="902"/>
        <n v="903"/>
        <n v="904"/>
        <n v="905"/>
        <n v="906"/>
        <n v="907"/>
        <n v="908"/>
        <n v="909"/>
        <n v="910"/>
        <n v="911"/>
        <n v="912"/>
        <n v="913"/>
        <n v="914"/>
        <n v="915"/>
        <n v="916"/>
        <n v="917"/>
        <n v="918"/>
        <n v="919"/>
        <n v="920"/>
        <n v="921"/>
        <n v="922"/>
        <n v="923"/>
        <n v="924"/>
        <n v="925"/>
        <n v="926"/>
        <n v="927"/>
        <n v="928"/>
        <n v="929"/>
        <n v="930"/>
        <n v="931"/>
        <n v="932"/>
        <n v="933"/>
        <n v="934"/>
        <n v="935"/>
        <n v="936"/>
        <n v="937"/>
        <n v="938"/>
        <n v="939"/>
        <n v="940"/>
        <n v="941"/>
        <n v="942"/>
        <n v="943"/>
        <n v="944"/>
        <n v="945"/>
        <n v="946"/>
        <n v="947"/>
        <n v="948"/>
        <n v="949"/>
        <n v="950"/>
        <n v="951"/>
        <n v="952"/>
        <n v="953"/>
        <n v="954"/>
        <n v="955"/>
        <n v="956"/>
        <n v="957"/>
        <n v="958"/>
        <n v="959"/>
        <n v="960"/>
        <n v="961"/>
        <n v="962"/>
        <n v="963"/>
        <n v="964"/>
        <n v="965"/>
        <n v="966"/>
        <n v="967"/>
        <n v="968"/>
        <n v="969"/>
        <n v="970"/>
        <n v="971"/>
        <n v="972"/>
        <n v="973"/>
        <n v="974"/>
        <n v="975"/>
        <n v="976"/>
        <n v="977"/>
        <n v="978"/>
        <n v="979"/>
        <n v="980"/>
        <n v="981"/>
        <n v="982"/>
        <n v="983"/>
        <n v="984"/>
        <n v="985"/>
        <n v="986"/>
        <n v="987"/>
        <n v="988"/>
        <n v="989"/>
        <n v="990"/>
        <n v="991"/>
        <n v="992"/>
        <n v="993"/>
        <n v="994"/>
        <n v="995"/>
        <n v="996"/>
        <n v="997"/>
        <n v="998"/>
        <n v="999"/>
        <n v="1000"/>
      </sharedItems>
    </cacheField>
    <cacheField name="order_date" numFmtId="14">
      <sharedItems containsSemiMixedTypes="0" containsNonDate="0" containsDate="1" containsString="0" minDate="2022-04-01T00:00:00" maxDate="2023-03-31T00:00:00" count="348">
        <d v="2022-07-03T00:00:00"/>
        <d v="2022-08-23T00:00:00"/>
        <d v="2022-11-20T00:00:00"/>
        <d v="2023-02-03T00:00:00"/>
        <d v="2022-10-02T00:00:00"/>
        <d v="2022-11-14T00:00:00"/>
        <d v="2022-05-03T00:00:00"/>
        <d v="2022-12-22T00:00:00"/>
        <d v="2022-06-10T00:00:00"/>
        <d v="2022-09-16T00:00:00"/>
        <d v="2022-12-01T00:00:00"/>
        <d v="2022-07-12T00:00:00"/>
        <d v="2022-11-25T00:00:00"/>
        <d v="2022-04-14T00:00:00"/>
        <d v="2022-10-16T00:00:00"/>
        <d v="2022-11-05T00:00:00"/>
        <d v="2022-08-22T00:00:00"/>
        <d v="2022-09-15T00:00:00"/>
        <d v="2022-12-21T00:00:00"/>
        <d v="2022-10-04T00:00:00"/>
        <d v="2022-05-26T00:00:00"/>
        <d v="2023-02-11T00:00:00"/>
        <d v="2022-08-31T00:00:00"/>
        <d v="2022-08-18T00:00:00"/>
        <d v="2022-10-12T00:00:00"/>
        <d v="2023-01-06T00:00:00"/>
        <d v="2023-02-10T00:00:00"/>
        <d v="2023-01-28T00:00:00"/>
        <d v="2022-09-14T00:00:00"/>
        <d v="2022-05-06T00:00:00"/>
        <d v="2023-02-05T00:00:00"/>
        <d v="2023-02-04T00:00:00"/>
        <d v="2022-05-22T00:00:00"/>
        <d v="2022-07-02T00:00:00"/>
        <d v="2023-01-05T00:00:00"/>
        <d v="2023-03-08T00:00:00"/>
        <d v="2022-05-14T00:00:00"/>
        <d v="2022-11-13T00:00:00"/>
        <d v="2022-05-09T00:00:00"/>
        <d v="2022-08-28T00:00:00"/>
        <d v="2022-08-15T00:00:00"/>
        <d v="2022-05-07T00:00:00"/>
        <d v="2022-07-10T00:00:00"/>
        <d v="2023-02-23T00:00:00"/>
        <d v="2022-11-06T00:00:00"/>
        <d v="2022-11-02T00:00:00"/>
        <d v="2022-05-16T00:00:00"/>
        <d v="2023-03-16T00:00:00"/>
        <d v="2022-07-26T00:00:00"/>
        <d v="2022-12-28T00:00:00"/>
        <d v="2022-11-23T00:00:00"/>
        <d v="2022-08-04T00:00:00"/>
        <d v="2022-07-01T00:00:00"/>
        <d v="2022-06-11T00:00:00"/>
        <d v="2022-12-25T00:00:00"/>
        <d v="2022-10-17T00:00:00"/>
        <d v="2022-12-09T00:00:00"/>
        <d v="2022-07-25T00:00:00"/>
        <d v="2022-04-05T00:00:00"/>
        <d v="2022-05-15T00:00:00"/>
        <d v="2022-12-17T00:00:00"/>
        <d v="2023-01-10T00:00:00"/>
        <d v="2022-12-05T00:00:00"/>
        <d v="2023-03-09T00:00:00"/>
        <d v="2022-07-29T00:00:00"/>
        <d v="2023-02-02T00:00:00"/>
        <d v="2022-08-17T00:00:00"/>
        <d v="2022-10-01T00:00:00"/>
        <d v="2022-05-24T00:00:00"/>
        <d v="2022-11-19T00:00:00"/>
        <d v="2022-07-17T00:00:00"/>
        <d v="2023-03-03T00:00:00"/>
        <d v="2022-08-19T00:00:00"/>
        <d v="2022-05-29T00:00:00"/>
        <d v="2022-07-07T00:00:00"/>
        <d v="2022-12-23T00:00:00"/>
        <d v="2022-10-29T00:00:00"/>
        <d v="2023-03-22T00:00:00"/>
        <d v="2022-05-13T00:00:00"/>
        <d v="2022-05-12T00:00:00"/>
        <d v="2023-03-29T00:00:00"/>
        <d v="2022-12-24T00:00:00"/>
        <d v="2022-09-11T00:00:00"/>
        <d v="2022-05-08T00:00:00"/>
        <d v="2023-03-26T00:00:00"/>
        <d v="2023-03-13T00:00:00"/>
        <d v="2023-03-14T00:00:00"/>
        <d v="2022-10-27T00:00:00"/>
        <d v="2023-01-25T00:00:00"/>
        <d v="2023-02-25T00:00:00"/>
        <d v="2023-02-07T00:00:00"/>
        <d v="2022-08-06T00:00:00"/>
        <d v="2022-08-08T00:00:00"/>
        <d v="2022-11-16T00:00:00"/>
        <d v="2022-09-04T00:00:00"/>
        <d v="2023-02-24T00:00:00"/>
        <d v="2022-12-12T00:00:00"/>
        <d v="2022-08-14T00:00:00"/>
        <d v="2023-01-12T00:00:00"/>
        <d v="2022-08-26T00:00:00"/>
        <d v="2022-07-06T00:00:00"/>
        <d v="2022-04-24T00:00:00"/>
        <d v="2022-06-09T00:00:00"/>
        <d v="2022-10-14T00:00:00"/>
        <d v="2022-04-10T00:00:00"/>
        <d v="2022-04-08T00:00:00"/>
        <d v="2022-12-03T00:00:00"/>
        <d v="2022-08-07T00:00:00"/>
        <d v="2022-10-19T00:00:00"/>
        <d v="2023-01-19T00:00:00"/>
        <d v="2022-12-20T00:00:00"/>
        <d v="2023-01-14T00:00:00"/>
        <d v="2022-08-24T00:00:00"/>
        <d v="2023-03-19T00:00:00"/>
        <d v="2022-09-01T00:00:00"/>
        <d v="2023-02-26T00:00:00"/>
        <d v="2022-06-12T00:00:00"/>
        <d v="2022-06-15T00:00:00"/>
        <d v="2022-12-30T00:00:00"/>
        <d v="2022-09-18T00:00:00"/>
        <d v="2022-11-17T00:00:00"/>
        <d v="2022-10-09T00:00:00"/>
        <d v="2022-10-28T00:00:00"/>
        <d v="2022-05-17T00:00:00"/>
        <d v="2022-08-09T00:00:00"/>
        <d v="2023-01-30T00:00:00"/>
        <d v="2022-10-24T00:00:00"/>
        <d v="2022-07-21T00:00:00"/>
        <d v="2022-12-13T00:00:00"/>
        <d v="2023-03-25T00:00:00"/>
        <d v="2022-10-03T00:00:00"/>
        <d v="2022-07-23T00:00:00"/>
        <d v="2022-08-10T00:00:00"/>
        <d v="2022-06-01T00:00:00"/>
        <d v="2022-04-19T00:00:00"/>
        <d v="2022-06-20T00:00:00"/>
        <d v="2023-02-13T00:00:00"/>
        <d v="2023-03-02T00:00:00"/>
        <d v="2022-08-27T00:00:00"/>
        <d v="2023-01-20T00:00:00"/>
        <d v="2022-09-03T00:00:00"/>
        <d v="2023-01-03T00:00:00"/>
        <d v="2023-01-13T00:00:00"/>
        <d v="2023-03-15T00:00:00"/>
        <d v="2022-10-11T00:00:00"/>
        <d v="2023-02-08T00:00:00"/>
        <d v="2022-04-26T00:00:00"/>
        <d v="2022-05-20T00:00:00"/>
        <d v="2022-10-26T00:00:00"/>
        <d v="2022-12-15T00:00:00"/>
        <d v="2022-04-23T00:00:00"/>
        <d v="2022-06-25T00:00:00"/>
        <d v="2022-11-08T00:00:00"/>
        <d v="2023-02-01T00:00:00"/>
        <d v="2022-06-30T00:00:00"/>
        <d v="2022-09-21T00:00:00"/>
        <d v="2022-04-11T00:00:00"/>
        <d v="2022-07-27T00:00:00"/>
        <d v="2023-02-20T00:00:00"/>
        <d v="2022-12-04T00:00:00"/>
        <d v="2023-01-02T00:00:00"/>
        <d v="2022-04-18T00:00:00"/>
        <d v="2022-05-05T00:00:00"/>
        <d v="2022-09-29T00:00:00"/>
        <d v="2022-12-10T00:00:00"/>
        <d v="2023-03-07T00:00:00"/>
        <d v="2023-03-23T00:00:00"/>
        <d v="2022-04-16T00:00:00"/>
        <d v="2022-07-31T00:00:00"/>
        <d v="2022-11-29T00:00:00"/>
        <d v="2022-06-26T00:00:00"/>
        <d v="2022-12-11T00:00:00"/>
        <d v="2022-06-06T00:00:00"/>
        <d v="2022-11-12T00:00:00"/>
        <d v="2022-11-22T00:00:00"/>
        <d v="2022-04-17T00:00:00"/>
        <d v="2022-11-15T00:00:00"/>
        <d v="2022-06-18T00:00:00"/>
        <d v="2022-04-30T00:00:00"/>
        <d v="2022-09-06T00:00:00"/>
        <d v="2022-11-18T00:00:00"/>
        <d v="2022-09-10T00:00:00"/>
        <d v="2023-01-11T00:00:00"/>
        <d v="2023-03-05T00:00:00"/>
        <d v="2022-06-19T00:00:00"/>
        <d v="2022-07-18T00:00:00"/>
        <d v="2022-09-07T00:00:00"/>
        <d v="2023-01-04T00:00:00"/>
        <d v="2022-09-30T00:00:00"/>
        <d v="2022-12-08T00:00:00"/>
        <d v="2023-01-29T00:00:00"/>
        <d v="2022-06-28T00:00:00"/>
        <d v="2022-12-14T00:00:00"/>
        <d v="2022-11-28T00:00:00"/>
        <d v="2023-01-27T00:00:00"/>
        <d v="2023-01-16T00:00:00"/>
        <d v="2022-04-21T00:00:00"/>
        <d v="2022-09-23T00:00:00"/>
        <d v="2023-02-06T00:00:00"/>
        <d v="2022-07-19T00:00:00"/>
        <d v="2022-07-22T00:00:00"/>
        <d v="2022-06-27T00:00:00"/>
        <d v="2023-03-21T00:00:00"/>
        <d v="2022-05-28T00:00:00"/>
        <d v="2022-04-25T00:00:00"/>
        <d v="2023-02-27T00:00:00"/>
        <d v="2023-03-10T00:00:00"/>
        <d v="2023-03-18T00:00:00"/>
        <d v="2022-12-29T00:00:00"/>
        <d v="2022-06-16T00:00:00"/>
        <d v="2022-09-22T00:00:00"/>
        <d v="2022-08-21T00:00:00"/>
        <d v="2023-02-17T00:00:00"/>
        <d v="2022-10-30T00:00:00"/>
        <d v="2022-04-04T00:00:00"/>
        <d v="2022-10-15T00:00:00"/>
        <d v="2023-02-16T00:00:00"/>
        <d v="2022-06-02T00:00:00"/>
        <d v="2023-03-11T00:00:00"/>
        <d v="2023-01-18T00:00:00"/>
        <d v="2023-01-31T00:00:00"/>
        <d v="2022-06-24T00:00:00"/>
        <d v="2022-09-19T00:00:00"/>
        <d v="2022-07-08T00:00:00"/>
        <d v="2022-05-25T00:00:00"/>
        <d v="2022-05-18T00:00:00"/>
        <d v="2022-10-06T00:00:00"/>
        <d v="2022-11-30T00:00:00"/>
        <d v="2022-10-18T00:00:00"/>
        <d v="2022-07-24T00:00:00"/>
        <d v="2023-02-15T00:00:00"/>
        <d v="2022-10-20T00:00:00"/>
        <d v="2022-08-16T00:00:00"/>
        <d v="2022-10-22T00:00:00"/>
        <d v="2023-03-17T00:00:00"/>
        <d v="2022-04-03T00:00:00"/>
        <d v="2022-10-31T00:00:00"/>
        <d v="2023-03-04T00:00:00"/>
        <d v="2022-09-25T00:00:00"/>
        <d v="2022-11-26T00:00:00"/>
        <d v="2022-10-13T00:00:00"/>
        <d v="2022-10-05T00:00:00"/>
        <d v="2023-01-21T00:00:00"/>
        <d v="2022-08-05T00:00:00"/>
        <d v="2022-10-08T00:00:00"/>
        <d v="2023-03-24T00:00:00"/>
        <d v="2022-08-02T00:00:00"/>
        <d v="2022-10-21T00:00:00"/>
        <d v="2022-05-21T00:00:00"/>
        <d v="2023-03-27T00:00:00"/>
        <d v="2022-05-27T00:00:00"/>
        <d v="2022-09-05T00:00:00"/>
        <d v="2022-09-28T00:00:00"/>
        <d v="2023-01-17T00:00:00"/>
        <d v="2022-09-09T00:00:00"/>
        <d v="2023-03-01T00:00:00"/>
        <d v="2022-12-31T00:00:00"/>
        <d v="2022-09-12T00:00:00"/>
        <d v="2022-06-08T00:00:00"/>
        <d v="2023-01-15T00:00:00"/>
        <d v="2022-09-08T00:00:00"/>
        <d v="2022-12-27T00:00:00"/>
        <d v="2022-04-27T00:00:00"/>
        <d v="2023-02-14T00:00:00"/>
        <d v="2022-12-26T00:00:00"/>
        <d v="2022-05-31T00:00:00"/>
        <d v="2022-07-11T00:00:00"/>
        <d v="2022-11-07T00:00:00"/>
        <d v="2022-11-04T00:00:00"/>
        <d v="2023-02-12T00:00:00"/>
        <d v="2022-07-16T00:00:00"/>
        <d v="2022-11-03T00:00:00"/>
        <d v="2022-05-01T00:00:00"/>
        <d v="2022-05-04T00:00:00"/>
        <d v="2022-07-04T00:00:00"/>
        <d v="2022-06-05T00:00:00"/>
        <d v="2022-07-30T00:00:00"/>
        <d v="2023-01-01T00:00:00"/>
        <d v="2022-07-09T00:00:00"/>
        <d v="2022-04-15T00:00:00"/>
        <d v="2022-11-11T00:00:00"/>
        <d v="2022-06-13T00:00:00"/>
        <d v="2022-09-27T00:00:00"/>
        <d v="2022-04-02T00:00:00"/>
        <d v="2022-04-09T00:00:00"/>
        <d v="2022-08-25T00:00:00"/>
        <d v="2023-02-22T00:00:00"/>
        <d v="2022-11-01T00:00:00"/>
        <d v="2023-02-28T00:00:00"/>
        <d v="2022-12-19T00:00:00"/>
        <d v="2022-07-15T00:00:00"/>
        <d v="2022-06-17T00:00:00"/>
        <d v="2022-06-22T00:00:00"/>
        <d v="2022-05-02T00:00:00"/>
        <d v="2022-08-20T00:00:00"/>
        <d v="2023-01-26T00:00:00"/>
        <d v="2023-02-09T00:00:00"/>
        <d v="2022-08-30T00:00:00"/>
        <d v="2022-04-07T00:00:00"/>
        <d v="2022-05-30T00:00:00"/>
        <d v="2022-10-10T00:00:00"/>
        <d v="2022-05-11T00:00:00"/>
        <d v="2022-07-05T00:00:00"/>
        <d v="2022-11-24T00:00:00"/>
        <d v="2022-09-17T00:00:00"/>
        <d v="2022-05-19T00:00:00"/>
        <d v="2022-05-23T00:00:00"/>
        <d v="2022-04-20T00:00:00"/>
        <d v="2022-08-12T00:00:00"/>
        <d v="2022-12-18T00:00:00"/>
        <d v="2022-08-13T00:00:00"/>
        <d v="2022-04-01T00:00:00"/>
        <d v="2022-04-22T00:00:00"/>
        <d v="2022-10-07T00:00:00"/>
        <d v="2022-12-16T00:00:00"/>
        <d v="2022-12-02T00:00:00"/>
        <d v="2022-04-12T00:00:00"/>
        <d v="2022-05-10T00:00:00"/>
        <d v="2022-08-03T00:00:00"/>
        <d v="2022-09-20T00:00:00"/>
        <d v="2022-11-09T00:00:00"/>
        <d v="2022-06-04T00:00:00"/>
        <d v="2022-06-07T00:00:00"/>
        <d v="2023-03-20T00:00:00"/>
        <d v="2022-10-23T00:00:00"/>
        <d v="2022-11-27T00:00:00"/>
        <d v="2022-04-29T00:00:00"/>
        <d v="2022-12-07T00:00:00"/>
        <d v="2022-07-20T00:00:00"/>
        <d v="2022-04-28T00:00:00"/>
        <d v="2023-01-23T00:00:00"/>
        <d v="2022-08-01T00:00:00"/>
        <d v="2023-02-18T00:00:00"/>
        <d v="2022-11-10T00:00:00"/>
        <d v="2023-01-24T00:00:00"/>
        <d v="2022-07-14T00:00:00"/>
        <d v="2022-07-13T00:00:00"/>
        <d v="2023-03-12T00:00:00"/>
        <d v="2023-03-06T00:00:00"/>
        <d v="2023-02-21T00:00:00"/>
        <d v="2023-02-19T00:00:00"/>
        <d v="2023-01-07T00:00:00"/>
        <d v="2022-09-24T00:00:00"/>
        <d v="2022-06-29T00:00:00"/>
        <d v="2022-11-21T00:00:00"/>
        <d v="2023-01-22T00:00:00"/>
        <d v="2023-03-30T00:00:00"/>
        <d v="2022-06-14T00:00:00"/>
      </sharedItems>
      <fieldGroup par="12"/>
    </cacheField>
    <cacheField name="item_name" numFmtId="0">
      <sharedItems count="7">
        <s v="Aalopuri"/>
        <s v="Vadapav"/>
        <s v="Sugarcane juice"/>
        <s v="Panipuri"/>
        <s v="Frankie"/>
        <s v="Sandwich"/>
        <s v="Cold coffee"/>
      </sharedItems>
    </cacheField>
    <cacheField name="item_type" numFmtId="0">
      <sharedItems count="2">
        <s v="Fastfood"/>
        <s v="Beverages"/>
      </sharedItems>
    </cacheField>
    <cacheField name="item_price" numFmtId="168">
      <sharedItems containsSemiMixedTypes="0" containsString="0" containsNumber="1" containsInteger="1" minValue="20" maxValue="60"/>
    </cacheField>
    <cacheField name="quantity" numFmtId="0">
      <sharedItems containsSemiMixedTypes="0" containsString="0" containsNumber="1" containsInteger="1" minValue="1" maxValue="15"/>
    </cacheField>
    <cacheField name="transaction_amount" numFmtId="168">
      <sharedItems containsSemiMixedTypes="0" containsString="0" containsNumber="1" containsInteger="1" minValue="20" maxValue="900"/>
    </cacheField>
    <cacheField name="transaction_type" numFmtId="0">
      <sharedItems count="3">
        <s v="Unknown"/>
        <s v="Cash"/>
        <s v="Online"/>
      </sharedItems>
    </cacheField>
    <cacheField name="received_by" numFmtId="0">
      <sharedItems/>
    </cacheField>
    <cacheField name="time_of_sale" numFmtId="0">
      <sharedItems count="5">
        <s v="Night"/>
        <s v="Afternoon"/>
        <s v="Evening"/>
        <s v="Morning"/>
        <s v="Midnight"/>
      </sharedItems>
    </cacheField>
    <cacheField name="Months (order_date)" numFmtId="0" databaseField="0">
      <fieldGroup base="1">
        <rangePr groupBy="months" startDate="2022-04-01T00:00:00" endDate="2023-03-31T00:00:00"/>
        <groupItems count="14">
          <s v="&lt;4/1/2022"/>
          <s v="Jan"/>
          <s v="Feb"/>
          <s v="Mar"/>
          <s v="Apr"/>
          <s v="May"/>
          <s v="Jun"/>
          <s v="Jul"/>
          <s v="Aug"/>
          <s v="Sep"/>
          <s v="Oct"/>
          <s v="Nov"/>
          <s v="Dec"/>
          <s v="&gt;3/31/2023"/>
        </groupItems>
      </fieldGroup>
    </cacheField>
    <cacheField name="Quarters (order_date)" numFmtId="0" databaseField="0">
      <fieldGroup base="1">
        <rangePr groupBy="quarters" startDate="2022-04-01T00:00:00" endDate="2023-03-31T00:00:00"/>
        <groupItems count="6">
          <s v="&lt;4/1/2022"/>
          <s v="Qtr1"/>
          <s v="Qtr2"/>
          <s v="Qtr3"/>
          <s v="Qtr4"/>
          <s v="&gt;3/31/2023"/>
        </groupItems>
      </fieldGroup>
    </cacheField>
    <cacheField name="Years (order_date)" numFmtId="0" databaseField="0">
      <fieldGroup base="1">
        <rangePr groupBy="years" startDate="2022-04-01T00:00:00" endDate="2023-03-31T00:00:00"/>
        <groupItems count="4">
          <s v="&lt;4/1/2022"/>
          <s v="2022"/>
          <s v="2023"/>
          <s v="&gt;3/31/2023"/>
        </groupItems>
      </fieldGroup>
    </cacheField>
  </cacheFields>
  <extLst>
    <ext xmlns:x14="http://schemas.microsoft.com/office/spreadsheetml/2009/9/main" uri="{725AE2AE-9491-48be-B2B4-4EB974FC3084}">
      <x14:pivotCacheDefinition pivotCacheId="699106730"/>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x v="0"/>
    <x v="0"/>
    <x v="0"/>
    <x v="0"/>
    <n v="20"/>
    <n v="13"/>
    <n v="260"/>
    <x v="0"/>
    <s v="Mr."/>
    <x v="0"/>
  </r>
  <r>
    <x v="1"/>
    <x v="1"/>
    <x v="1"/>
    <x v="0"/>
    <n v="20"/>
    <n v="15"/>
    <n v="300"/>
    <x v="1"/>
    <s v="Mr."/>
    <x v="1"/>
  </r>
  <r>
    <x v="2"/>
    <x v="2"/>
    <x v="1"/>
    <x v="0"/>
    <n v="20"/>
    <n v="1"/>
    <n v="20"/>
    <x v="1"/>
    <s v="Mr."/>
    <x v="1"/>
  </r>
  <r>
    <x v="3"/>
    <x v="3"/>
    <x v="2"/>
    <x v="1"/>
    <n v="25"/>
    <n v="6"/>
    <n v="150"/>
    <x v="2"/>
    <s v="Mr."/>
    <x v="0"/>
  </r>
  <r>
    <x v="4"/>
    <x v="4"/>
    <x v="2"/>
    <x v="1"/>
    <n v="25"/>
    <n v="8"/>
    <n v="200"/>
    <x v="2"/>
    <s v="Mr."/>
    <x v="2"/>
  </r>
  <r>
    <x v="5"/>
    <x v="5"/>
    <x v="1"/>
    <x v="0"/>
    <n v="20"/>
    <n v="10"/>
    <n v="200"/>
    <x v="1"/>
    <s v="Mr."/>
    <x v="2"/>
  </r>
  <r>
    <x v="6"/>
    <x v="6"/>
    <x v="2"/>
    <x v="1"/>
    <n v="25"/>
    <n v="9"/>
    <n v="225"/>
    <x v="1"/>
    <s v="Mr."/>
    <x v="2"/>
  </r>
  <r>
    <x v="7"/>
    <x v="7"/>
    <x v="3"/>
    <x v="0"/>
    <n v="20"/>
    <n v="14"/>
    <n v="280"/>
    <x v="2"/>
    <s v="Mr."/>
    <x v="0"/>
  </r>
  <r>
    <x v="8"/>
    <x v="8"/>
    <x v="3"/>
    <x v="0"/>
    <n v="20"/>
    <n v="1"/>
    <n v="20"/>
    <x v="1"/>
    <s v="Mrs."/>
    <x v="3"/>
  </r>
  <r>
    <x v="9"/>
    <x v="9"/>
    <x v="3"/>
    <x v="0"/>
    <n v="20"/>
    <n v="5"/>
    <n v="100"/>
    <x v="2"/>
    <s v="Mr."/>
    <x v="1"/>
  </r>
  <r>
    <x v="10"/>
    <x v="10"/>
    <x v="4"/>
    <x v="0"/>
    <n v="50"/>
    <n v="8"/>
    <n v="400"/>
    <x v="2"/>
    <s v="Mrs."/>
    <x v="1"/>
  </r>
  <r>
    <x v="11"/>
    <x v="11"/>
    <x v="1"/>
    <x v="0"/>
    <n v="20"/>
    <n v="8"/>
    <n v="160"/>
    <x v="2"/>
    <s v="Mrs."/>
    <x v="0"/>
  </r>
  <r>
    <x v="12"/>
    <x v="7"/>
    <x v="3"/>
    <x v="0"/>
    <n v="20"/>
    <n v="9"/>
    <n v="180"/>
    <x v="2"/>
    <s v="Mrs."/>
    <x v="1"/>
  </r>
  <r>
    <x v="13"/>
    <x v="12"/>
    <x v="4"/>
    <x v="0"/>
    <n v="50"/>
    <n v="4"/>
    <n v="200"/>
    <x v="2"/>
    <s v="Mr."/>
    <x v="3"/>
  </r>
  <r>
    <x v="14"/>
    <x v="3"/>
    <x v="0"/>
    <x v="0"/>
    <n v="20"/>
    <n v="3"/>
    <n v="60"/>
    <x v="1"/>
    <s v="Mrs."/>
    <x v="2"/>
  </r>
  <r>
    <x v="15"/>
    <x v="13"/>
    <x v="5"/>
    <x v="0"/>
    <n v="60"/>
    <n v="11"/>
    <n v="660"/>
    <x v="0"/>
    <s v="Mrs."/>
    <x v="4"/>
  </r>
  <r>
    <x v="16"/>
    <x v="14"/>
    <x v="3"/>
    <x v="0"/>
    <n v="20"/>
    <n v="11"/>
    <n v="220"/>
    <x v="1"/>
    <s v="Mrs."/>
    <x v="3"/>
  </r>
  <r>
    <x v="17"/>
    <x v="15"/>
    <x v="3"/>
    <x v="0"/>
    <n v="20"/>
    <n v="10"/>
    <n v="200"/>
    <x v="1"/>
    <s v="Mrs."/>
    <x v="0"/>
  </r>
  <r>
    <x v="18"/>
    <x v="16"/>
    <x v="3"/>
    <x v="0"/>
    <n v="20"/>
    <n v="11"/>
    <n v="220"/>
    <x v="1"/>
    <s v="Mrs."/>
    <x v="0"/>
  </r>
  <r>
    <x v="19"/>
    <x v="17"/>
    <x v="6"/>
    <x v="1"/>
    <n v="40"/>
    <n v="10"/>
    <n v="400"/>
    <x v="2"/>
    <s v="Mr."/>
    <x v="0"/>
  </r>
  <r>
    <x v="20"/>
    <x v="18"/>
    <x v="6"/>
    <x v="1"/>
    <n v="40"/>
    <n v="15"/>
    <n v="600"/>
    <x v="1"/>
    <s v="Mr."/>
    <x v="2"/>
  </r>
  <r>
    <x v="21"/>
    <x v="19"/>
    <x v="2"/>
    <x v="1"/>
    <n v="25"/>
    <n v="12"/>
    <n v="300"/>
    <x v="2"/>
    <s v="Mr."/>
    <x v="2"/>
  </r>
  <r>
    <x v="22"/>
    <x v="20"/>
    <x v="5"/>
    <x v="0"/>
    <n v="60"/>
    <n v="3"/>
    <n v="180"/>
    <x v="2"/>
    <s v="Mr."/>
    <x v="4"/>
  </r>
  <r>
    <x v="23"/>
    <x v="21"/>
    <x v="2"/>
    <x v="1"/>
    <n v="25"/>
    <n v="10"/>
    <n v="250"/>
    <x v="2"/>
    <s v="Mr."/>
    <x v="1"/>
  </r>
  <r>
    <x v="24"/>
    <x v="22"/>
    <x v="5"/>
    <x v="0"/>
    <n v="60"/>
    <n v="1"/>
    <n v="60"/>
    <x v="2"/>
    <s v="Mrs."/>
    <x v="2"/>
  </r>
  <r>
    <x v="25"/>
    <x v="23"/>
    <x v="2"/>
    <x v="1"/>
    <n v="25"/>
    <n v="4"/>
    <n v="100"/>
    <x v="1"/>
    <s v="Mr."/>
    <x v="1"/>
  </r>
  <r>
    <x v="26"/>
    <x v="24"/>
    <x v="6"/>
    <x v="1"/>
    <n v="40"/>
    <n v="11"/>
    <n v="440"/>
    <x v="2"/>
    <s v="Mrs."/>
    <x v="1"/>
  </r>
  <r>
    <x v="27"/>
    <x v="25"/>
    <x v="6"/>
    <x v="1"/>
    <n v="40"/>
    <n v="10"/>
    <n v="400"/>
    <x v="2"/>
    <s v="Mrs."/>
    <x v="1"/>
  </r>
  <r>
    <x v="28"/>
    <x v="26"/>
    <x v="2"/>
    <x v="1"/>
    <n v="25"/>
    <n v="9"/>
    <n v="225"/>
    <x v="2"/>
    <s v="Mr."/>
    <x v="1"/>
  </r>
  <r>
    <x v="29"/>
    <x v="27"/>
    <x v="4"/>
    <x v="0"/>
    <n v="50"/>
    <n v="2"/>
    <n v="100"/>
    <x v="1"/>
    <s v="Mrs."/>
    <x v="0"/>
  </r>
  <r>
    <x v="30"/>
    <x v="28"/>
    <x v="6"/>
    <x v="1"/>
    <n v="40"/>
    <n v="13"/>
    <n v="520"/>
    <x v="2"/>
    <s v="Mrs."/>
    <x v="2"/>
  </r>
  <r>
    <x v="31"/>
    <x v="29"/>
    <x v="0"/>
    <x v="0"/>
    <n v="20"/>
    <n v="4"/>
    <n v="80"/>
    <x v="0"/>
    <s v="Mr."/>
    <x v="3"/>
  </r>
  <r>
    <x v="32"/>
    <x v="30"/>
    <x v="0"/>
    <x v="0"/>
    <n v="20"/>
    <n v="13"/>
    <n v="260"/>
    <x v="2"/>
    <s v="Mr."/>
    <x v="0"/>
  </r>
  <r>
    <x v="33"/>
    <x v="31"/>
    <x v="4"/>
    <x v="0"/>
    <n v="50"/>
    <n v="12"/>
    <n v="600"/>
    <x v="2"/>
    <s v="Mrs."/>
    <x v="2"/>
  </r>
  <r>
    <x v="34"/>
    <x v="32"/>
    <x v="1"/>
    <x v="0"/>
    <n v="20"/>
    <n v="8"/>
    <n v="160"/>
    <x v="1"/>
    <s v="Mr."/>
    <x v="3"/>
  </r>
  <r>
    <x v="35"/>
    <x v="33"/>
    <x v="6"/>
    <x v="1"/>
    <n v="40"/>
    <n v="10"/>
    <n v="400"/>
    <x v="2"/>
    <s v="Mr."/>
    <x v="1"/>
  </r>
  <r>
    <x v="36"/>
    <x v="34"/>
    <x v="4"/>
    <x v="0"/>
    <n v="50"/>
    <n v="10"/>
    <n v="500"/>
    <x v="1"/>
    <s v="Mr."/>
    <x v="0"/>
  </r>
  <r>
    <x v="37"/>
    <x v="35"/>
    <x v="3"/>
    <x v="0"/>
    <n v="20"/>
    <n v="12"/>
    <n v="240"/>
    <x v="2"/>
    <s v="Mrs."/>
    <x v="0"/>
  </r>
  <r>
    <x v="38"/>
    <x v="36"/>
    <x v="1"/>
    <x v="0"/>
    <n v="20"/>
    <n v="2"/>
    <n v="40"/>
    <x v="2"/>
    <s v="Mr."/>
    <x v="2"/>
  </r>
  <r>
    <x v="39"/>
    <x v="30"/>
    <x v="5"/>
    <x v="0"/>
    <n v="60"/>
    <n v="5"/>
    <n v="300"/>
    <x v="2"/>
    <s v="Mrs."/>
    <x v="0"/>
  </r>
  <r>
    <x v="40"/>
    <x v="37"/>
    <x v="6"/>
    <x v="1"/>
    <n v="40"/>
    <n v="11"/>
    <n v="440"/>
    <x v="0"/>
    <s v="Mr."/>
    <x v="1"/>
  </r>
  <r>
    <x v="41"/>
    <x v="38"/>
    <x v="0"/>
    <x v="0"/>
    <n v="20"/>
    <n v="8"/>
    <n v="160"/>
    <x v="2"/>
    <s v="Mrs."/>
    <x v="0"/>
  </r>
  <r>
    <x v="42"/>
    <x v="20"/>
    <x v="1"/>
    <x v="0"/>
    <n v="20"/>
    <n v="1"/>
    <n v="20"/>
    <x v="1"/>
    <s v="Mr."/>
    <x v="0"/>
  </r>
  <r>
    <x v="43"/>
    <x v="39"/>
    <x v="6"/>
    <x v="1"/>
    <n v="40"/>
    <n v="12"/>
    <n v="480"/>
    <x v="1"/>
    <s v="Mr."/>
    <x v="2"/>
  </r>
  <r>
    <x v="44"/>
    <x v="40"/>
    <x v="2"/>
    <x v="1"/>
    <n v="25"/>
    <n v="6"/>
    <n v="150"/>
    <x v="1"/>
    <s v="Mrs."/>
    <x v="1"/>
  </r>
  <r>
    <x v="45"/>
    <x v="41"/>
    <x v="1"/>
    <x v="0"/>
    <n v="20"/>
    <n v="7"/>
    <n v="140"/>
    <x v="1"/>
    <s v="Mr."/>
    <x v="2"/>
  </r>
  <r>
    <x v="46"/>
    <x v="42"/>
    <x v="5"/>
    <x v="0"/>
    <n v="60"/>
    <n v="7"/>
    <n v="420"/>
    <x v="0"/>
    <s v="Mr."/>
    <x v="3"/>
  </r>
  <r>
    <x v="47"/>
    <x v="43"/>
    <x v="5"/>
    <x v="0"/>
    <n v="60"/>
    <n v="14"/>
    <n v="840"/>
    <x v="2"/>
    <s v="Mr."/>
    <x v="1"/>
  </r>
  <r>
    <x v="48"/>
    <x v="44"/>
    <x v="4"/>
    <x v="0"/>
    <n v="50"/>
    <n v="4"/>
    <n v="200"/>
    <x v="2"/>
    <s v="Mrs."/>
    <x v="3"/>
  </r>
  <r>
    <x v="49"/>
    <x v="45"/>
    <x v="1"/>
    <x v="0"/>
    <n v="20"/>
    <n v="8"/>
    <n v="160"/>
    <x v="1"/>
    <s v="Mrs."/>
    <x v="4"/>
  </r>
  <r>
    <x v="50"/>
    <x v="46"/>
    <x v="4"/>
    <x v="0"/>
    <n v="50"/>
    <n v="15"/>
    <n v="750"/>
    <x v="2"/>
    <s v="Mrs."/>
    <x v="3"/>
  </r>
  <r>
    <x v="51"/>
    <x v="47"/>
    <x v="2"/>
    <x v="1"/>
    <n v="25"/>
    <n v="12"/>
    <n v="300"/>
    <x v="1"/>
    <s v="Mrs."/>
    <x v="4"/>
  </r>
  <r>
    <x v="52"/>
    <x v="48"/>
    <x v="0"/>
    <x v="0"/>
    <n v="20"/>
    <n v="13"/>
    <n v="260"/>
    <x v="1"/>
    <s v="Mr."/>
    <x v="1"/>
  </r>
  <r>
    <x v="53"/>
    <x v="49"/>
    <x v="3"/>
    <x v="0"/>
    <n v="20"/>
    <n v="14"/>
    <n v="280"/>
    <x v="2"/>
    <s v="Mrs."/>
    <x v="3"/>
  </r>
  <r>
    <x v="54"/>
    <x v="41"/>
    <x v="5"/>
    <x v="0"/>
    <n v="60"/>
    <n v="10"/>
    <n v="600"/>
    <x v="1"/>
    <s v="Mr."/>
    <x v="0"/>
  </r>
  <r>
    <x v="55"/>
    <x v="50"/>
    <x v="3"/>
    <x v="0"/>
    <n v="20"/>
    <n v="11"/>
    <n v="220"/>
    <x v="1"/>
    <s v="Mrs."/>
    <x v="4"/>
  </r>
  <r>
    <x v="56"/>
    <x v="51"/>
    <x v="3"/>
    <x v="0"/>
    <n v="20"/>
    <n v="14"/>
    <n v="280"/>
    <x v="2"/>
    <s v="Mrs."/>
    <x v="3"/>
  </r>
  <r>
    <x v="57"/>
    <x v="3"/>
    <x v="1"/>
    <x v="0"/>
    <n v="20"/>
    <n v="6"/>
    <n v="120"/>
    <x v="2"/>
    <s v="Mrs."/>
    <x v="3"/>
  </r>
  <r>
    <x v="58"/>
    <x v="52"/>
    <x v="1"/>
    <x v="0"/>
    <n v="20"/>
    <n v="5"/>
    <n v="100"/>
    <x v="1"/>
    <s v="Mr."/>
    <x v="3"/>
  </r>
  <r>
    <x v="59"/>
    <x v="53"/>
    <x v="6"/>
    <x v="1"/>
    <n v="40"/>
    <n v="2"/>
    <n v="80"/>
    <x v="2"/>
    <s v="Mr."/>
    <x v="0"/>
  </r>
  <r>
    <x v="60"/>
    <x v="54"/>
    <x v="1"/>
    <x v="0"/>
    <n v="20"/>
    <n v="14"/>
    <n v="280"/>
    <x v="1"/>
    <s v="Mrs."/>
    <x v="1"/>
  </r>
  <r>
    <x v="61"/>
    <x v="55"/>
    <x v="2"/>
    <x v="1"/>
    <n v="25"/>
    <n v="3"/>
    <n v="75"/>
    <x v="1"/>
    <s v="Mr."/>
    <x v="1"/>
  </r>
  <r>
    <x v="62"/>
    <x v="10"/>
    <x v="5"/>
    <x v="0"/>
    <n v="60"/>
    <n v="7"/>
    <n v="420"/>
    <x v="2"/>
    <s v="Mrs."/>
    <x v="3"/>
  </r>
  <r>
    <x v="63"/>
    <x v="56"/>
    <x v="6"/>
    <x v="1"/>
    <n v="40"/>
    <n v="1"/>
    <n v="40"/>
    <x v="1"/>
    <s v="Mr."/>
    <x v="3"/>
  </r>
  <r>
    <x v="64"/>
    <x v="57"/>
    <x v="0"/>
    <x v="0"/>
    <n v="20"/>
    <n v="4"/>
    <n v="80"/>
    <x v="1"/>
    <s v="Mr."/>
    <x v="3"/>
  </r>
  <r>
    <x v="65"/>
    <x v="58"/>
    <x v="4"/>
    <x v="0"/>
    <n v="50"/>
    <n v="2"/>
    <n v="100"/>
    <x v="1"/>
    <s v="Mrs."/>
    <x v="3"/>
  </r>
  <r>
    <x v="66"/>
    <x v="59"/>
    <x v="0"/>
    <x v="0"/>
    <n v="20"/>
    <n v="9"/>
    <n v="180"/>
    <x v="1"/>
    <s v="Mr."/>
    <x v="4"/>
  </r>
  <r>
    <x v="67"/>
    <x v="60"/>
    <x v="6"/>
    <x v="1"/>
    <n v="40"/>
    <n v="2"/>
    <n v="80"/>
    <x v="0"/>
    <s v="Mr."/>
    <x v="0"/>
  </r>
  <r>
    <x v="68"/>
    <x v="61"/>
    <x v="1"/>
    <x v="0"/>
    <n v="20"/>
    <n v="7"/>
    <n v="140"/>
    <x v="1"/>
    <s v="Mr."/>
    <x v="4"/>
  </r>
  <r>
    <x v="69"/>
    <x v="38"/>
    <x v="6"/>
    <x v="1"/>
    <n v="40"/>
    <n v="14"/>
    <n v="560"/>
    <x v="0"/>
    <s v="Mrs."/>
    <x v="3"/>
  </r>
  <r>
    <x v="70"/>
    <x v="62"/>
    <x v="6"/>
    <x v="1"/>
    <n v="40"/>
    <n v="6"/>
    <n v="240"/>
    <x v="2"/>
    <s v="Mr."/>
    <x v="0"/>
  </r>
  <r>
    <x v="71"/>
    <x v="63"/>
    <x v="4"/>
    <x v="0"/>
    <n v="50"/>
    <n v="13"/>
    <n v="650"/>
    <x v="2"/>
    <s v="Mr."/>
    <x v="1"/>
  </r>
  <r>
    <x v="72"/>
    <x v="64"/>
    <x v="3"/>
    <x v="0"/>
    <n v="20"/>
    <n v="5"/>
    <n v="100"/>
    <x v="1"/>
    <s v="Mr."/>
    <x v="4"/>
  </r>
  <r>
    <x v="73"/>
    <x v="40"/>
    <x v="6"/>
    <x v="1"/>
    <n v="40"/>
    <n v="10"/>
    <n v="400"/>
    <x v="2"/>
    <s v="Mrs."/>
    <x v="2"/>
  </r>
  <r>
    <x v="74"/>
    <x v="65"/>
    <x v="6"/>
    <x v="1"/>
    <n v="40"/>
    <n v="6"/>
    <n v="240"/>
    <x v="2"/>
    <s v="Mrs."/>
    <x v="1"/>
  </r>
  <r>
    <x v="75"/>
    <x v="66"/>
    <x v="1"/>
    <x v="0"/>
    <n v="20"/>
    <n v="9"/>
    <n v="180"/>
    <x v="2"/>
    <s v="Mr."/>
    <x v="3"/>
  </r>
  <r>
    <x v="76"/>
    <x v="31"/>
    <x v="2"/>
    <x v="1"/>
    <n v="25"/>
    <n v="12"/>
    <n v="300"/>
    <x v="1"/>
    <s v="Mrs."/>
    <x v="4"/>
  </r>
  <r>
    <x v="77"/>
    <x v="67"/>
    <x v="1"/>
    <x v="0"/>
    <n v="20"/>
    <n v="4"/>
    <n v="80"/>
    <x v="1"/>
    <s v="Mrs."/>
    <x v="2"/>
  </r>
  <r>
    <x v="78"/>
    <x v="15"/>
    <x v="3"/>
    <x v="0"/>
    <n v="20"/>
    <n v="6"/>
    <n v="120"/>
    <x v="2"/>
    <s v="Mr."/>
    <x v="0"/>
  </r>
  <r>
    <x v="79"/>
    <x v="68"/>
    <x v="4"/>
    <x v="0"/>
    <n v="50"/>
    <n v="13"/>
    <n v="650"/>
    <x v="1"/>
    <s v="Mr."/>
    <x v="2"/>
  </r>
  <r>
    <x v="80"/>
    <x v="69"/>
    <x v="4"/>
    <x v="0"/>
    <n v="50"/>
    <n v="12"/>
    <n v="600"/>
    <x v="2"/>
    <s v="Mrs."/>
    <x v="0"/>
  </r>
  <r>
    <x v="81"/>
    <x v="70"/>
    <x v="4"/>
    <x v="0"/>
    <n v="50"/>
    <n v="3"/>
    <n v="150"/>
    <x v="2"/>
    <s v="Mrs."/>
    <x v="2"/>
  </r>
  <r>
    <x v="82"/>
    <x v="37"/>
    <x v="4"/>
    <x v="0"/>
    <n v="50"/>
    <n v="11"/>
    <n v="550"/>
    <x v="0"/>
    <s v="Mr."/>
    <x v="2"/>
  </r>
  <r>
    <x v="83"/>
    <x v="71"/>
    <x v="3"/>
    <x v="0"/>
    <n v="20"/>
    <n v="13"/>
    <n v="260"/>
    <x v="1"/>
    <s v="Mr."/>
    <x v="4"/>
  </r>
  <r>
    <x v="84"/>
    <x v="72"/>
    <x v="0"/>
    <x v="0"/>
    <n v="20"/>
    <n v="3"/>
    <n v="60"/>
    <x v="2"/>
    <s v="Mrs."/>
    <x v="0"/>
  </r>
  <r>
    <x v="85"/>
    <x v="63"/>
    <x v="0"/>
    <x v="0"/>
    <n v="20"/>
    <n v="15"/>
    <n v="300"/>
    <x v="1"/>
    <s v="Mr."/>
    <x v="3"/>
  </r>
  <r>
    <x v="86"/>
    <x v="73"/>
    <x v="0"/>
    <x v="0"/>
    <n v="20"/>
    <n v="8"/>
    <n v="160"/>
    <x v="1"/>
    <s v="Mr."/>
    <x v="0"/>
  </r>
  <r>
    <x v="87"/>
    <x v="74"/>
    <x v="6"/>
    <x v="1"/>
    <n v="40"/>
    <n v="10"/>
    <n v="400"/>
    <x v="1"/>
    <s v="Mr."/>
    <x v="2"/>
  </r>
  <r>
    <x v="88"/>
    <x v="75"/>
    <x v="0"/>
    <x v="0"/>
    <n v="20"/>
    <n v="14"/>
    <n v="280"/>
    <x v="1"/>
    <s v="Mr."/>
    <x v="2"/>
  </r>
  <r>
    <x v="89"/>
    <x v="76"/>
    <x v="1"/>
    <x v="0"/>
    <n v="20"/>
    <n v="15"/>
    <n v="300"/>
    <x v="2"/>
    <s v="Mr."/>
    <x v="0"/>
  </r>
  <r>
    <x v="90"/>
    <x v="77"/>
    <x v="6"/>
    <x v="1"/>
    <n v="40"/>
    <n v="6"/>
    <n v="240"/>
    <x v="0"/>
    <s v="Mrs."/>
    <x v="2"/>
  </r>
  <r>
    <x v="91"/>
    <x v="78"/>
    <x v="0"/>
    <x v="0"/>
    <n v="20"/>
    <n v="15"/>
    <n v="300"/>
    <x v="1"/>
    <s v="Mr."/>
    <x v="1"/>
  </r>
  <r>
    <x v="92"/>
    <x v="0"/>
    <x v="6"/>
    <x v="1"/>
    <n v="40"/>
    <n v="2"/>
    <n v="80"/>
    <x v="2"/>
    <s v="Mrs."/>
    <x v="4"/>
  </r>
  <r>
    <x v="93"/>
    <x v="28"/>
    <x v="0"/>
    <x v="0"/>
    <n v="20"/>
    <n v="15"/>
    <n v="300"/>
    <x v="0"/>
    <s v="Mrs."/>
    <x v="0"/>
  </r>
  <r>
    <x v="94"/>
    <x v="79"/>
    <x v="2"/>
    <x v="1"/>
    <n v="25"/>
    <n v="8"/>
    <n v="200"/>
    <x v="2"/>
    <s v="Mr."/>
    <x v="0"/>
  </r>
  <r>
    <x v="95"/>
    <x v="16"/>
    <x v="5"/>
    <x v="0"/>
    <n v="60"/>
    <n v="15"/>
    <n v="900"/>
    <x v="0"/>
    <s v="Mr."/>
    <x v="3"/>
  </r>
  <r>
    <x v="96"/>
    <x v="80"/>
    <x v="6"/>
    <x v="1"/>
    <n v="40"/>
    <n v="13"/>
    <n v="520"/>
    <x v="2"/>
    <s v="Mr."/>
    <x v="2"/>
  </r>
  <r>
    <x v="97"/>
    <x v="81"/>
    <x v="1"/>
    <x v="0"/>
    <n v="20"/>
    <n v="1"/>
    <n v="20"/>
    <x v="2"/>
    <s v="Mr."/>
    <x v="3"/>
  </r>
  <r>
    <x v="98"/>
    <x v="82"/>
    <x v="2"/>
    <x v="1"/>
    <n v="25"/>
    <n v="3"/>
    <n v="75"/>
    <x v="1"/>
    <s v="Mr."/>
    <x v="2"/>
  </r>
  <r>
    <x v="99"/>
    <x v="83"/>
    <x v="3"/>
    <x v="0"/>
    <n v="20"/>
    <n v="11"/>
    <n v="220"/>
    <x v="0"/>
    <s v="Mr."/>
    <x v="3"/>
  </r>
  <r>
    <x v="100"/>
    <x v="84"/>
    <x v="1"/>
    <x v="0"/>
    <n v="20"/>
    <n v="3"/>
    <n v="60"/>
    <x v="2"/>
    <s v="Mrs."/>
    <x v="3"/>
  </r>
  <r>
    <x v="101"/>
    <x v="85"/>
    <x v="6"/>
    <x v="1"/>
    <n v="40"/>
    <n v="14"/>
    <n v="560"/>
    <x v="1"/>
    <s v="Mr."/>
    <x v="3"/>
  </r>
  <r>
    <x v="102"/>
    <x v="86"/>
    <x v="6"/>
    <x v="1"/>
    <n v="40"/>
    <n v="8"/>
    <n v="320"/>
    <x v="2"/>
    <s v="Mrs."/>
    <x v="4"/>
  </r>
  <r>
    <x v="103"/>
    <x v="87"/>
    <x v="6"/>
    <x v="1"/>
    <n v="40"/>
    <n v="13"/>
    <n v="520"/>
    <x v="2"/>
    <s v="Mr."/>
    <x v="3"/>
  </r>
  <r>
    <x v="104"/>
    <x v="88"/>
    <x v="3"/>
    <x v="0"/>
    <n v="20"/>
    <n v="8"/>
    <n v="160"/>
    <x v="1"/>
    <s v="Mrs."/>
    <x v="2"/>
  </r>
  <r>
    <x v="105"/>
    <x v="89"/>
    <x v="4"/>
    <x v="0"/>
    <n v="50"/>
    <n v="9"/>
    <n v="450"/>
    <x v="1"/>
    <s v="Mrs."/>
    <x v="2"/>
  </r>
  <r>
    <x v="106"/>
    <x v="90"/>
    <x v="5"/>
    <x v="0"/>
    <n v="60"/>
    <n v="4"/>
    <n v="240"/>
    <x v="2"/>
    <s v="Mr."/>
    <x v="1"/>
  </r>
  <r>
    <x v="107"/>
    <x v="91"/>
    <x v="3"/>
    <x v="0"/>
    <n v="20"/>
    <n v="5"/>
    <n v="100"/>
    <x v="2"/>
    <s v="Mr."/>
    <x v="1"/>
  </r>
  <r>
    <x v="108"/>
    <x v="92"/>
    <x v="6"/>
    <x v="1"/>
    <n v="40"/>
    <n v="12"/>
    <n v="480"/>
    <x v="0"/>
    <s v="Mr."/>
    <x v="1"/>
  </r>
  <r>
    <x v="109"/>
    <x v="93"/>
    <x v="3"/>
    <x v="0"/>
    <n v="20"/>
    <n v="2"/>
    <n v="40"/>
    <x v="2"/>
    <s v="Mrs."/>
    <x v="3"/>
  </r>
  <r>
    <x v="110"/>
    <x v="94"/>
    <x v="5"/>
    <x v="0"/>
    <n v="60"/>
    <n v="8"/>
    <n v="480"/>
    <x v="1"/>
    <s v="Mrs."/>
    <x v="4"/>
  </r>
  <r>
    <x v="111"/>
    <x v="95"/>
    <x v="5"/>
    <x v="0"/>
    <n v="60"/>
    <n v="7"/>
    <n v="420"/>
    <x v="1"/>
    <s v="Mr."/>
    <x v="3"/>
  </r>
  <r>
    <x v="112"/>
    <x v="96"/>
    <x v="0"/>
    <x v="0"/>
    <n v="20"/>
    <n v="8"/>
    <n v="160"/>
    <x v="1"/>
    <s v="Mr."/>
    <x v="1"/>
  </r>
  <r>
    <x v="113"/>
    <x v="97"/>
    <x v="0"/>
    <x v="0"/>
    <n v="20"/>
    <n v="10"/>
    <n v="200"/>
    <x v="2"/>
    <s v="Mr."/>
    <x v="1"/>
  </r>
  <r>
    <x v="114"/>
    <x v="98"/>
    <x v="0"/>
    <x v="0"/>
    <n v="20"/>
    <n v="13"/>
    <n v="260"/>
    <x v="0"/>
    <s v="Mr."/>
    <x v="2"/>
  </r>
  <r>
    <x v="115"/>
    <x v="99"/>
    <x v="2"/>
    <x v="1"/>
    <n v="25"/>
    <n v="13"/>
    <n v="325"/>
    <x v="1"/>
    <s v="Mr."/>
    <x v="2"/>
  </r>
  <r>
    <x v="116"/>
    <x v="63"/>
    <x v="4"/>
    <x v="0"/>
    <n v="50"/>
    <n v="7"/>
    <n v="350"/>
    <x v="2"/>
    <s v="Mrs."/>
    <x v="2"/>
  </r>
  <r>
    <x v="117"/>
    <x v="100"/>
    <x v="5"/>
    <x v="0"/>
    <n v="60"/>
    <n v="1"/>
    <n v="60"/>
    <x v="2"/>
    <s v="Mr."/>
    <x v="4"/>
  </r>
  <r>
    <x v="118"/>
    <x v="79"/>
    <x v="3"/>
    <x v="0"/>
    <n v="20"/>
    <n v="10"/>
    <n v="200"/>
    <x v="1"/>
    <s v="Mr."/>
    <x v="2"/>
  </r>
  <r>
    <x v="119"/>
    <x v="42"/>
    <x v="4"/>
    <x v="0"/>
    <n v="50"/>
    <n v="2"/>
    <n v="100"/>
    <x v="1"/>
    <s v="Mrs."/>
    <x v="2"/>
  </r>
  <r>
    <x v="120"/>
    <x v="99"/>
    <x v="6"/>
    <x v="1"/>
    <n v="40"/>
    <n v="8"/>
    <n v="320"/>
    <x v="1"/>
    <s v="Mr."/>
    <x v="1"/>
  </r>
  <r>
    <x v="121"/>
    <x v="101"/>
    <x v="3"/>
    <x v="0"/>
    <n v="20"/>
    <n v="3"/>
    <n v="60"/>
    <x v="0"/>
    <s v="Mrs."/>
    <x v="0"/>
  </r>
  <r>
    <x v="122"/>
    <x v="102"/>
    <x v="6"/>
    <x v="1"/>
    <n v="40"/>
    <n v="6"/>
    <n v="240"/>
    <x v="2"/>
    <s v="Mr."/>
    <x v="2"/>
  </r>
  <r>
    <x v="123"/>
    <x v="103"/>
    <x v="2"/>
    <x v="1"/>
    <n v="25"/>
    <n v="13"/>
    <n v="325"/>
    <x v="0"/>
    <s v="Mrs."/>
    <x v="2"/>
  </r>
  <r>
    <x v="124"/>
    <x v="104"/>
    <x v="1"/>
    <x v="0"/>
    <n v="20"/>
    <n v="7"/>
    <n v="140"/>
    <x v="1"/>
    <s v="Mrs."/>
    <x v="4"/>
  </r>
  <r>
    <x v="125"/>
    <x v="105"/>
    <x v="3"/>
    <x v="0"/>
    <n v="20"/>
    <n v="11"/>
    <n v="220"/>
    <x v="2"/>
    <s v="Mrs."/>
    <x v="0"/>
  </r>
  <r>
    <x v="126"/>
    <x v="106"/>
    <x v="0"/>
    <x v="0"/>
    <n v="20"/>
    <n v="1"/>
    <n v="20"/>
    <x v="0"/>
    <s v="Mrs."/>
    <x v="3"/>
  </r>
  <r>
    <x v="127"/>
    <x v="107"/>
    <x v="1"/>
    <x v="0"/>
    <n v="20"/>
    <n v="11"/>
    <n v="220"/>
    <x v="2"/>
    <s v="Mr."/>
    <x v="4"/>
  </r>
  <r>
    <x v="128"/>
    <x v="108"/>
    <x v="3"/>
    <x v="0"/>
    <n v="20"/>
    <n v="13"/>
    <n v="260"/>
    <x v="1"/>
    <s v="Mrs."/>
    <x v="3"/>
  </r>
  <r>
    <x v="129"/>
    <x v="49"/>
    <x v="2"/>
    <x v="1"/>
    <n v="25"/>
    <n v="7"/>
    <n v="175"/>
    <x v="1"/>
    <s v="Mr."/>
    <x v="0"/>
  </r>
  <r>
    <x v="130"/>
    <x v="109"/>
    <x v="5"/>
    <x v="0"/>
    <n v="60"/>
    <n v="8"/>
    <n v="480"/>
    <x v="1"/>
    <s v="Mr."/>
    <x v="0"/>
  </r>
  <r>
    <x v="131"/>
    <x v="62"/>
    <x v="1"/>
    <x v="0"/>
    <n v="20"/>
    <n v="4"/>
    <n v="80"/>
    <x v="2"/>
    <s v="Mrs."/>
    <x v="0"/>
  </r>
  <r>
    <x v="132"/>
    <x v="110"/>
    <x v="0"/>
    <x v="0"/>
    <n v="20"/>
    <n v="5"/>
    <n v="100"/>
    <x v="2"/>
    <s v="Mr."/>
    <x v="4"/>
  </r>
  <r>
    <x v="133"/>
    <x v="70"/>
    <x v="0"/>
    <x v="0"/>
    <n v="20"/>
    <n v="12"/>
    <n v="240"/>
    <x v="2"/>
    <s v="Mrs."/>
    <x v="0"/>
  </r>
  <r>
    <x v="134"/>
    <x v="111"/>
    <x v="0"/>
    <x v="0"/>
    <n v="20"/>
    <n v="8"/>
    <n v="160"/>
    <x v="2"/>
    <s v="Mr."/>
    <x v="4"/>
  </r>
  <r>
    <x v="135"/>
    <x v="112"/>
    <x v="0"/>
    <x v="0"/>
    <n v="20"/>
    <n v="15"/>
    <n v="300"/>
    <x v="2"/>
    <s v="Mr."/>
    <x v="3"/>
  </r>
  <r>
    <x v="136"/>
    <x v="113"/>
    <x v="2"/>
    <x v="1"/>
    <n v="25"/>
    <n v="6"/>
    <n v="150"/>
    <x v="0"/>
    <s v="Mr."/>
    <x v="1"/>
  </r>
  <r>
    <x v="137"/>
    <x v="114"/>
    <x v="5"/>
    <x v="0"/>
    <n v="60"/>
    <n v="15"/>
    <n v="900"/>
    <x v="2"/>
    <s v="Mr."/>
    <x v="0"/>
  </r>
  <r>
    <x v="138"/>
    <x v="115"/>
    <x v="4"/>
    <x v="0"/>
    <n v="50"/>
    <n v="11"/>
    <n v="550"/>
    <x v="2"/>
    <s v="Mrs."/>
    <x v="0"/>
  </r>
  <r>
    <x v="139"/>
    <x v="116"/>
    <x v="4"/>
    <x v="0"/>
    <n v="50"/>
    <n v="13"/>
    <n v="650"/>
    <x v="1"/>
    <s v="Mr."/>
    <x v="0"/>
  </r>
  <r>
    <x v="140"/>
    <x v="117"/>
    <x v="0"/>
    <x v="0"/>
    <n v="20"/>
    <n v="4"/>
    <n v="80"/>
    <x v="0"/>
    <s v="Mr."/>
    <x v="2"/>
  </r>
  <r>
    <x v="141"/>
    <x v="118"/>
    <x v="2"/>
    <x v="1"/>
    <n v="25"/>
    <n v="12"/>
    <n v="300"/>
    <x v="1"/>
    <s v="Mrs."/>
    <x v="3"/>
  </r>
  <r>
    <x v="142"/>
    <x v="119"/>
    <x v="4"/>
    <x v="0"/>
    <n v="50"/>
    <n v="8"/>
    <n v="400"/>
    <x v="0"/>
    <s v="Mrs."/>
    <x v="1"/>
  </r>
  <r>
    <x v="143"/>
    <x v="120"/>
    <x v="3"/>
    <x v="0"/>
    <n v="20"/>
    <n v="10"/>
    <n v="200"/>
    <x v="1"/>
    <s v="Mrs."/>
    <x v="2"/>
  </r>
  <r>
    <x v="144"/>
    <x v="121"/>
    <x v="5"/>
    <x v="0"/>
    <n v="60"/>
    <n v="14"/>
    <n v="840"/>
    <x v="2"/>
    <s v="Mr."/>
    <x v="3"/>
  </r>
  <r>
    <x v="145"/>
    <x v="122"/>
    <x v="4"/>
    <x v="0"/>
    <n v="50"/>
    <n v="4"/>
    <n v="200"/>
    <x v="0"/>
    <s v="Mrs."/>
    <x v="1"/>
  </r>
  <r>
    <x v="146"/>
    <x v="123"/>
    <x v="3"/>
    <x v="0"/>
    <n v="20"/>
    <n v="7"/>
    <n v="140"/>
    <x v="2"/>
    <s v="Mr."/>
    <x v="2"/>
  </r>
  <r>
    <x v="147"/>
    <x v="113"/>
    <x v="5"/>
    <x v="0"/>
    <n v="60"/>
    <n v="13"/>
    <n v="780"/>
    <x v="2"/>
    <s v="Mr."/>
    <x v="2"/>
  </r>
  <r>
    <x v="148"/>
    <x v="124"/>
    <x v="5"/>
    <x v="0"/>
    <n v="60"/>
    <n v="7"/>
    <n v="420"/>
    <x v="2"/>
    <s v="Mr."/>
    <x v="3"/>
  </r>
  <r>
    <x v="149"/>
    <x v="125"/>
    <x v="6"/>
    <x v="1"/>
    <n v="40"/>
    <n v="14"/>
    <n v="560"/>
    <x v="1"/>
    <s v="Mr."/>
    <x v="1"/>
  </r>
  <r>
    <x v="150"/>
    <x v="42"/>
    <x v="4"/>
    <x v="0"/>
    <n v="50"/>
    <n v="13"/>
    <n v="650"/>
    <x v="2"/>
    <s v="Mrs."/>
    <x v="3"/>
  </r>
  <r>
    <x v="151"/>
    <x v="126"/>
    <x v="6"/>
    <x v="1"/>
    <n v="40"/>
    <n v="9"/>
    <n v="360"/>
    <x v="2"/>
    <s v="Mr."/>
    <x v="1"/>
  </r>
  <r>
    <x v="152"/>
    <x v="127"/>
    <x v="3"/>
    <x v="0"/>
    <n v="20"/>
    <n v="1"/>
    <n v="20"/>
    <x v="1"/>
    <s v="Mrs."/>
    <x v="2"/>
  </r>
  <r>
    <x v="153"/>
    <x v="128"/>
    <x v="1"/>
    <x v="0"/>
    <n v="20"/>
    <n v="3"/>
    <n v="60"/>
    <x v="1"/>
    <s v="Mr."/>
    <x v="0"/>
  </r>
  <r>
    <x v="154"/>
    <x v="90"/>
    <x v="2"/>
    <x v="1"/>
    <n v="25"/>
    <n v="10"/>
    <n v="250"/>
    <x v="1"/>
    <s v="Mrs."/>
    <x v="2"/>
  </r>
  <r>
    <x v="155"/>
    <x v="129"/>
    <x v="3"/>
    <x v="0"/>
    <n v="20"/>
    <n v="14"/>
    <n v="280"/>
    <x v="1"/>
    <s v="Mr."/>
    <x v="4"/>
  </r>
  <r>
    <x v="156"/>
    <x v="95"/>
    <x v="4"/>
    <x v="0"/>
    <n v="50"/>
    <n v="7"/>
    <n v="350"/>
    <x v="2"/>
    <s v="Mrs."/>
    <x v="4"/>
  </r>
  <r>
    <x v="157"/>
    <x v="46"/>
    <x v="0"/>
    <x v="0"/>
    <n v="20"/>
    <n v="2"/>
    <n v="40"/>
    <x v="0"/>
    <s v="Mr."/>
    <x v="4"/>
  </r>
  <r>
    <x v="158"/>
    <x v="130"/>
    <x v="2"/>
    <x v="1"/>
    <n v="25"/>
    <n v="1"/>
    <n v="25"/>
    <x v="2"/>
    <s v="Mrs."/>
    <x v="1"/>
  </r>
  <r>
    <x v="159"/>
    <x v="131"/>
    <x v="1"/>
    <x v="0"/>
    <n v="20"/>
    <n v="10"/>
    <n v="200"/>
    <x v="2"/>
    <s v="Mr."/>
    <x v="0"/>
  </r>
  <r>
    <x v="160"/>
    <x v="109"/>
    <x v="2"/>
    <x v="1"/>
    <n v="25"/>
    <n v="12"/>
    <n v="300"/>
    <x v="1"/>
    <s v="Mr."/>
    <x v="2"/>
  </r>
  <r>
    <x v="161"/>
    <x v="41"/>
    <x v="0"/>
    <x v="0"/>
    <n v="20"/>
    <n v="11"/>
    <n v="220"/>
    <x v="1"/>
    <s v="Mr."/>
    <x v="4"/>
  </r>
  <r>
    <x v="162"/>
    <x v="25"/>
    <x v="4"/>
    <x v="0"/>
    <n v="50"/>
    <n v="6"/>
    <n v="300"/>
    <x v="2"/>
    <s v="Mrs."/>
    <x v="4"/>
  </r>
  <r>
    <x v="163"/>
    <x v="132"/>
    <x v="2"/>
    <x v="1"/>
    <n v="25"/>
    <n v="7"/>
    <n v="175"/>
    <x v="2"/>
    <s v="Mr."/>
    <x v="1"/>
  </r>
  <r>
    <x v="164"/>
    <x v="34"/>
    <x v="5"/>
    <x v="0"/>
    <n v="60"/>
    <n v="11"/>
    <n v="660"/>
    <x v="1"/>
    <s v="Mr."/>
    <x v="4"/>
  </r>
  <r>
    <x v="165"/>
    <x v="133"/>
    <x v="3"/>
    <x v="0"/>
    <n v="20"/>
    <n v="6"/>
    <n v="120"/>
    <x v="1"/>
    <s v="Mrs."/>
    <x v="2"/>
  </r>
  <r>
    <x v="166"/>
    <x v="43"/>
    <x v="6"/>
    <x v="1"/>
    <n v="40"/>
    <n v="6"/>
    <n v="240"/>
    <x v="1"/>
    <s v="Mrs."/>
    <x v="3"/>
  </r>
  <r>
    <x v="167"/>
    <x v="134"/>
    <x v="5"/>
    <x v="0"/>
    <n v="60"/>
    <n v="4"/>
    <n v="240"/>
    <x v="1"/>
    <s v="Mrs."/>
    <x v="4"/>
  </r>
  <r>
    <x v="168"/>
    <x v="135"/>
    <x v="1"/>
    <x v="0"/>
    <n v="20"/>
    <n v="6"/>
    <n v="120"/>
    <x v="1"/>
    <s v="Mr."/>
    <x v="3"/>
  </r>
  <r>
    <x v="169"/>
    <x v="136"/>
    <x v="0"/>
    <x v="0"/>
    <n v="20"/>
    <n v="6"/>
    <n v="120"/>
    <x v="0"/>
    <s v="Mrs."/>
    <x v="1"/>
  </r>
  <r>
    <x v="170"/>
    <x v="137"/>
    <x v="1"/>
    <x v="0"/>
    <n v="20"/>
    <n v="11"/>
    <n v="220"/>
    <x v="1"/>
    <s v="Mrs."/>
    <x v="4"/>
  </r>
  <r>
    <x v="171"/>
    <x v="138"/>
    <x v="2"/>
    <x v="1"/>
    <n v="25"/>
    <n v="6"/>
    <n v="150"/>
    <x v="2"/>
    <s v="Mrs."/>
    <x v="0"/>
  </r>
  <r>
    <x v="172"/>
    <x v="139"/>
    <x v="6"/>
    <x v="1"/>
    <n v="40"/>
    <n v="2"/>
    <n v="80"/>
    <x v="2"/>
    <s v="Mr."/>
    <x v="0"/>
  </r>
  <r>
    <x v="173"/>
    <x v="140"/>
    <x v="0"/>
    <x v="0"/>
    <n v="20"/>
    <n v="2"/>
    <n v="40"/>
    <x v="2"/>
    <s v="Mr."/>
    <x v="2"/>
  </r>
  <r>
    <x v="174"/>
    <x v="55"/>
    <x v="4"/>
    <x v="0"/>
    <n v="50"/>
    <n v="12"/>
    <n v="600"/>
    <x v="1"/>
    <s v="Mrs."/>
    <x v="1"/>
  </r>
  <r>
    <x v="175"/>
    <x v="51"/>
    <x v="3"/>
    <x v="0"/>
    <n v="20"/>
    <n v="1"/>
    <n v="20"/>
    <x v="1"/>
    <s v="Mrs."/>
    <x v="4"/>
  </r>
  <r>
    <x v="176"/>
    <x v="127"/>
    <x v="3"/>
    <x v="0"/>
    <n v="20"/>
    <n v="11"/>
    <n v="220"/>
    <x v="2"/>
    <s v="Mrs."/>
    <x v="3"/>
  </r>
  <r>
    <x v="177"/>
    <x v="56"/>
    <x v="0"/>
    <x v="0"/>
    <n v="20"/>
    <n v="2"/>
    <n v="40"/>
    <x v="1"/>
    <s v="Mrs."/>
    <x v="3"/>
  </r>
  <r>
    <x v="178"/>
    <x v="71"/>
    <x v="2"/>
    <x v="1"/>
    <n v="25"/>
    <n v="5"/>
    <n v="125"/>
    <x v="0"/>
    <s v="Mrs."/>
    <x v="4"/>
  </r>
  <r>
    <x v="179"/>
    <x v="10"/>
    <x v="1"/>
    <x v="0"/>
    <n v="20"/>
    <n v="6"/>
    <n v="120"/>
    <x v="2"/>
    <s v="Mrs."/>
    <x v="1"/>
  </r>
  <r>
    <x v="180"/>
    <x v="102"/>
    <x v="6"/>
    <x v="1"/>
    <n v="40"/>
    <n v="7"/>
    <n v="280"/>
    <x v="1"/>
    <s v="Mrs."/>
    <x v="0"/>
  </r>
  <r>
    <x v="181"/>
    <x v="33"/>
    <x v="6"/>
    <x v="1"/>
    <n v="40"/>
    <n v="1"/>
    <n v="40"/>
    <x v="1"/>
    <s v="Mr."/>
    <x v="4"/>
  </r>
  <r>
    <x v="182"/>
    <x v="42"/>
    <x v="2"/>
    <x v="1"/>
    <n v="25"/>
    <n v="5"/>
    <n v="125"/>
    <x v="1"/>
    <s v="Mrs."/>
    <x v="4"/>
  </r>
  <r>
    <x v="183"/>
    <x v="141"/>
    <x v="6"/>
    <x v="1"/>
    <n v="40"/>
    <n v="8"/>
    <n v="320"/>
    <x v="1"/>
    <s v="Mr."/>
    <x v="0"/>
  </r>
  <r>
    <x v="184"/>
    <x v="142"/>
    <x v="2"/>
    <x v="1"/>
    <n v="25"/>
    <n v="15"/>
    <n v="375"/>
    <x v="0"/>
    <s v="Mr."/>
    <x v="0"/>
  </r>
  <r>
    <x v="185"/>
    <x v="143"/>
    <x v="4"/>
    <x v="0"/>
    <n v="50"/>
    <n v="2"/>
    <n v="100"/>
    <x v="2"/>
    <s v="Mr."/>
    <x v="1"/>
  </r>
  <r>
    <x v="186"/>
    <x v="144"/>
    <x v="0"/>
    <x v="0"/>
    <n v="20"/>
    <n v="15"/>
    <n v="300"/>
    <x v="1"/>
    <s v="Mrs."/>
    <x v="3"/>
  </r>
  <r>
    <x v="187"/>
    <x v="49"/>
    <x v="3"/>
    <x v="0"/>
    <n v="20"/>
    <n v="14"/>
    <n v="280"/>
    <x v="1"/>
    <s v="Mrs."/>
    <x v="0"/>
  </r>
  <r>
    <x v="188"/>
    <x v="145"/>
    <x v="1"/>
    <x v="0"/>
    <n v="20"/>
    <n v="12"/>
    <n v="240"/>
    <x v="2"/>
    <s v="Mr."/>
    <x v="1"/>
  </r>
  <r>
    <x v="189"/>
    <x v="146"/>
    <x v="6"/>
    <x v="1"/>
    <n v="40"/>
    <n v="1"/>
    <n v="40"/>
    <x v="2"/>
    <s v="Mr."/>
    <x v="2"/>
  </r>
  <r>
    <x v="190"/>
    <x v="147"/>
    <x v="2"/>
    <x v="1"/>
    <n v="25"/>
    <n v="14"/>
    <n v="350"/>
    <x v="1"/>
    <s v="Mrs."/>
    <x v="3"/>
  </r>
  <r>
    <x v="191"/>
    <x v="148"/>
    <x v="1"/>
    <x v="0"/>
    <n v="20"/>
    <n v="2"/>
    <n v="40"/>
    <x v="2"/>
    <s v="Mr."/>
    <x v="0"/>
  </r>
  <r>
    <x v="192"/>
    <x v="30"/>
    <x v="6"/>
    <x v="1"/>
    <n v="40"/>
    <n v="15"/>
    <n v="600"/>
    <x v="2"/>
    <s v="Mrs."/>
    <x v="4"/>
  </r>
  <r>
    <x v="193"/>
    <x v="149"/>
    <x v="1"/>
    <x v="0"/>
    <n v="20"/>
    <n v="4"/>
    <n v="80"/>
    <x v="1"/>
    <s v="Mrs."/>
    <x v="3"/>
  </r>
  <r>
    <x v="194"/>
    <x v="150"/>
    <x v="5"/>
    <x v="0"/>
    <n v="60"/>
    <n v="4"/>
    <n v="240"/>
    <x v="1"/>
    <s v="Mrs."/>
    <x v="0"/>
  </r>
  <r>
    <x v="195"/>
    <x v="151"/>
    <x v="5"/>
    <x v="0"/>
    <n v="60"/>
    <n v="3"/>
    <n v="180"/>
    <x v="1"/>
    <s v="Mr."/>
    <x v="2"/>
  </r>
  <r>
    <x v="196"/>
    <x v="152"/>
    <x v="3"/>
    <x v="0"/>
    <n v="20"/>
    <n v="10"/>
    <n v="200"/>
    <x v="1"/>
    <s v="Mrs."/>
    <x v="4"/>
  </r>
  <r>
    <x v="197"/>
    <x v="34"/>
    <x v="4"/>
    <x v="0"/>
    <n v="50"/>
    <n v="15"/>
    <n v="750"/>
    <x v="1"/>
    <s v="Mr."/>
    <x v="3"/>
  </r>
  <r>
    <x v="198"/>
    <x v="153"/>
    <x v="4"/>
    <x v="0"/>
    <n v="50"/>
    <n v="6"/>
    <n v="300"/>
    <x v="2"/>
    <s v="Mrs."/>
    <x v="3"/>
  </r>
  <r>
    <x v="199"/>
    <x v="54"/>
    <x v="6"/>
    <x v="1"/>
    <n v="40"/>
    <n v="10"/>
    <n v="400"/>
    <x v="1"/>
    <s v="Mrs."/>
    <x v="3"/>
  </r>
  <r>
    <x v="200"/>
    <x v="154"/>
    <x v="3"/>
    <x v="0"/>
    <n v="20"/>
    <n v="8"/>
    <n v="160"/>
    <x v="1"/>
    <s v="Mr."/>
    <x v="3"/>
  </r>
  <r>
    <x v="201"/>
    <x v="155"/>
    <x v="0"/>
    <x v="0"/>
    <n v="20"/>
    <n v="9"/>
    <n v="180"/>
    <x v="1"/>
    <s v="Mr."/>
    <x v="1"/>
  </r>
  <r>
    <x v="202"/>
    <x v="156"/>
    <x v="1"/>
    <x v="0"/>
    <n v="20"/>
    <n v="6"/>
    <n v="120"/>
    <x v="2"/>
    <s v="Mrs."/>
    <x v="4"/>
  </r>
  <r>
    <x v="203"/>
    <x v="126"/>
    <x v="6"/>
    <x v="1"/>
    <n v="40"/>
    <n v="7"/>
    <n v="280"/>
    <x v="1"/>
    <s v="Mrs."/>
    <x v="2"/>
  </r>
  <r>
    <x v="204"/>
    <x v="55"/>
    <x v="1"/>
    <x v="0"/>
    <n v="20"/>
    <n v="4"/>
    <n v="80"/>
    <x v="0"/>
    <s v="Mr."/>
    <x v="1"/>
  </r>
  <r>
    <x v="205"/>
    <x v="157"/>
    <x v="0"/>
    <x v="0"/>
    <n v="20"/>
    <n v="4"/>
    <n v="80"/>
    <x v="1"/>
    <s v="Mr."/>
    <x v="0"/>
  </r>
  <r>
    <x v="206"/>
    <x v="158"/>
    <x v="6"/>
    <x v="1"/>
    <n v="40"/>
    <n v="8"/>
    <n v="320"/>
    <x v="2"/>
    <s v="Mrs."/>
    <x v="2"/>
  </r>
  <r>
    <x v="207"/>
    <x v="99"/>
    <x v="6"/>
    <x v="1"/>
    <n v="40"/>
    <n v="13"/>
    <n v="520"/>
    <x v="1"/>
    <s v="Mrs."/>
    <x v="4"/>
  </r>
  <r>
    <x v="208"/>
    <x v="159"/>
    <x v="0"/>
    <x v="0"/>
    <n v="20"/>
    <n v="2"/>
    <n v="40"/>
    <x v="1"/>
    <s v="Mr."/>
    <x v="0"/>
  </r>
  <r>
    <x v="209"/>
    <x v="160"/>
    <x v="2"/>
    <x v="1"/>
    <n v="25"/>
    <n v="15"/>
    <n v="375"/>
    <x v="0"/>
    <s v="Mr."/>
    <x v="0"/>
  </r>
  <r>
    <x v="210"/>
    <x v="161"/>
    <x v="0"/>
    <x v="0"/>
    <n v="20"/>
    <n v="12"/>
    <n v="240"/>
    <x v="1"/>
    <s v="Mr."/>
    <x v="3"/>
  </r>
  <r>
    <x v="211"/>
    <x v="162"/>
    <x v="6"/>
    <x v="1"/>
    <n v="40"/>
    <n v="12"/>
    <n v="480"/>
    <x v="2"/>
    <s v="Mrs."/>
    <x v="3"/>
  </r>
  <r>
    <x v="212"/>
    <x v="163"/>
    <x v="1"/>
    <x v="0"/>
    <n v="20"/>
    <n v="3"/>
    <n v="60"/>
    <x v="0"/>
    <s v="Mrs."/>
    <x v="4"/>
  </r>
  <r>
    <x v="213"/>
    <x v="106"/>
    <x v="2"/>
    <x v="1"/>
    <n v="25"/>
    <n v="14"/>
    <n v="350"/>
    <x v="2"/>
    <s v="Mr."/>
    <x v="2"/>
  </r>
  <r>
    <x v="214"/>
    <x v="164"/>
    <x v="2"/>
    <x v="1"/>
    <n v="25"/>
    <n v="7"/>
    <n v="175"/>
    <x v="0"/>
    <s v="Mrs."/>
    <x v="3"/>
  </r>
  <r>
    <x v="215"/>
    <x v="165"/>
    <x v="3"/>
    <x v="0"/>
    <n v="20"/>
    <n v="9"/>
    <n v="180"/>
    <x v="1"/>
    <s v="Mrs."/>
    <x v="1"/>
  </r>
  <r>
    <x v="216"/>
    <x v="166"/>
    <x v="6"/>
    <x v="1"/>
    <n v="40"/>
    <n v="10"/>
    <n v="400"/>
    <x v="1"/>
    <s v="Mr."/>
    <x v="3"/>
  </r>
  <r>
    <x v="217"/>
    <x v="75"/>
    <x v="6"/>
    <x v="1"/>
    <n v="40"/>
    <n v="13"/>
    <n v="520"/>
    <x v="2"/>
    <s v="Mrs."/>
    <x v="4"/>
  </r>
  <r>
    <x v="218"/>
    <x v="67"/>
    <x v="0"/>
    <x v="0"/>
    <n v="20"/>
    <n v="9"/>
    <n v="180"/>
    <x v="1"/>
    <s v="Mrs."/>
    <x v="2"/>
  </r>
  <r>
    <x v="219"/>
    <x v="78"/>
    <x v="2"/>
    <x v="1"/>
    <n v="25"/>
    <n v="1"/>
    <n v="25"/>
    <x v="1"/>
    <s v="Mr."/>
    <x v="1"/>
  </r>
  <r>
    <x v="220"/>
    <x v="84"/>
    <x v="5"/>
    <x v="0"/>
    <n v="60"/>
    <n v="1"/>
    <n v="60"/>
    <x v="2"/>
    <s v="Mr."/>
    <x v="2"/>
  </r>
  <r>
    <x v="221"/>
    <x v="82"/>
    <x v="5"/>
    <x v="0"/>
    <n v="60"/>
    <n v="6"/>
    <n v="360"/>
    <x v="1"/>
    <s v="Mrs."/>
    <x v="3"/>
  </r>
  <r>
    <x v="222"/>
    <x v="155"/>
    <x v="3"/>
    <x v="0"/>
    <n v="20"/>
    <n v="13"/>
    <n v="260"/>
    <x v="2"/>
    <s v="Mr."/>
    <x v="0"/>
  </r>
  <r>
    <x v="223"/>
    <x v="166"/>
    <x v="2"/>
    <x v="1"/>
    <n v="25"/>
    <n v="14"/>
    <n v="350"/>
    <x v="1"/>
    <s v="Mr."/>
    <x v="1"/>
  </r>
  <r>
    <x v="224"/>
    <x v="47"/>
    <x v="4"/>
    <x v="0"/>
    <n v="50"/>
    <n v="11"/>
    <n v="550"/>
    <x v="1"/>
    <s v="Mrs."/>
    <x v="2"/>
  </r>
  <r>
    <x v="225"/>
    <x v="96"/>
    <x v="0"/>
    <x v="0"/>
    <n v="20"/>
    <n v="13"/>
    <n v="260"/>
    <x v="2"/>
    <s v="Mrs."/>
    <x v="1"/>
  </r>
  <r>
    <x v="226"/>
    <x v="120"/>
    <x v="6"/>
    <x v="1"/>
    <n v="40"/>
    <n v="5"/>
    <n v="200"/>
    <x v="1"/>
    <s v="Mrs."/>
    <x v="1"/>
  </r>
  <r>
    <x v="227"/>
    <x v="15"/>
    <x v="3"/>
    <x v="0"/>
    <n v="20"/>
    <n v="8"/>
    <n v="160"/>
    <x v="2"/>
    <s v="Mr."/>
    <x v="0"/>
  </r>
  <r>
    <x v="228"/>
    <x v="149"/>
    <x v="3"/>
    <x v="0"/>
    <n v="20"/>
    <n v="7"/>
    <n v="140"/>
    <x v="0"/>
    <s v="Mr."/>
    <x v="2"/>
  </r>
  <r>
    <x v="229"/>
    <x v="167"/>
    <x v="4"/>
    <x v="0"/>
    <n v="50"/>
    <n v="6"/>
    <n v="300"/>
    <x v="2"/>
    <s v="Mr."/>
    <x v="1"/>
  </r>
  <r>
    <x v="230"/>
    <x v="167"/>
    <x v="2"/>
    <x v="1"/>
    <n v="25"/>
    <n v="3"/>
    <n v="75"/>
    <x v="0"/>
    <s v="Mr."/>
    <x v="0"/>
  </r>
  <r>
    <x v="231"/>
    <x v="150"/>
    <x v="1"/>
    <x v="0"/>
    <n v="20"/>
    <n v="13"/>
    <n v="260"/>
    <x v="1"/>
    <s v="Mrs."/>
    <x v="0"/>
  </r>
  <r>
    <x v="232"/>
    <x v="168"/>
    <x v="3"/>
    <x v="0"/>
    <n v="20"/>
    <n v="5"/>
    <n v="100"/>
    <x v="1"/>
    <s v="Mr."/>
    <x v="3"/>
  </r>
  <r>
    <x v="233"/>
    <x v="157"/>
    <x v="3"/>
    <x v="0"/>
    <n v="20"/>
    <n v="10"/>
    <n v="200"/>
    <x v="1"/>
    <s v="Mr."/>
    <x v="4"/>
  </r>
  <r>
    <x v="234"/>
    <x v="169"/>
    <x v="5"/>
    <x v="0"/>
    <n v="60"/>
    <n v="10"/>
    <n v="600"/>
    <x v="1"/>
    <s v="Mrs."/>
    <x v="1"/>
  </r>
  <r>
    <x v="235"/>
    <x v="170"/>
    <x v="1"/>
    <x v="0"/>
    <n v="20"/>
    <n v="12"/>
    <n v="240"/>
    <x v="0"/>
    <s v="Mrs."/>
    <x v="2"/>
  </r>
  <r>
    <x v="236"/>
    <x v="152"/>
    <x v="3"/>
    <x v="0"/>
    <n v="20"/>
    <n v="13"/>
    <n v="260"/>
    <x v="1"/>
    <s v="Mrs."/>
    <x v="4"/>
  </r>
  <r>
    <x v="237"/>
    <x v="146"/>
    <x v="1"/>
    <x v="0"/>
    <n v="20"/>
    <n v="13"/>
    <n v="260"/>
    <x v="1"/>
    <s v="Mr."/>
    <x v="3"/>
  </r>
  <r>
    <x v="238"/>
    <x v="159"/>
    <x v="4"/>
    <x v="0"/>
    <n v="50"/>
    <n v="4"/>
    <n v="200"/>
    <x v="2"/>
    <s v="Mr."/>
    <x v="2"/>
  </r>
  <r>
    <x v="239"/>
    <x v="171"/>
    <x v="5"/>
    <x v="0"/>
    <n v="60"/>
    <n v="10"/>
    <n v="600"/>
    <x v="1"/>
    <s v="Mrs."/>
    <x v="3"/>
  </r>
  <r>
    <x v="240"/>
    <x v="172"/>
    <x v="2"/>
    <x v="1"/>
    <n v="25"/>
    <n v="2"/>
    <n v="50"/>
    <x v="1"/>
    <s v="Mr."/>
    <x v="1"/>
  </r>
  <r>
    <x v="241"/>
    <x v="75"/>
    <x v="6"/>
    <x v="1"/>
    <n v="40"/>
    <n v="4"/>
    <n v="160"/>
    <x v="2"/>
    <s v="Mrs."/>
    <x v="4"/>
  </r>
  <r>
    <x v="242"/>
    <x v="173"/>
    <x v="3"/>
    <x v="0"/>
    <n v="20"/>
    <n v="5"/>
    <n v="100"/>
    <x v="1"/>
    <s v="Mrs."/>
    <x v="4"/>
  </r>
  <r>
    <x v="243"/>
    <x v="174"/>
    <x v="5"/>
    <x v="0"/>
    <n v="60"/>
    <n v="10"/>
    <n v="600"/>
    <x v="2"/>
    <s v="Mrs."/>
    <x v="4"/>
  </r>
  <r>
    <x v="244"/>
    <x v="130"/>
    <x v="1"/>
    <x v="0"/>
    <n v="20"/>
    <n v="2"/>
    <n v="40"/>
    <x v="1"/>
    <s v="Mrs."/>
    <x v="3"/>
  </r>
  <r>
    <x v="245"/>
    <x v="93"/>
    <x v="1"/>
    <x v="0"/>
    <n v="20"/>
    <n v="10"/>
    <n v="200"/>
    <x v="1"/>
    <s v="Mr."/>
    <x v="1"/>
  </r>
  <r>
    <x v="246"/>
    <x v="130"/>
    <x v="2"/>
    <x v="1"/>
    <n v="25"/>
    <n v="6"/>
    <n v="150"/>
    <x v="0"/>
    <s v="Mr."/>
    <x v="4"/>
  </r>
  <r>
    <x v="247"/>
    <x v="175"/>
    <x v="4"/>
    <x v="0"/>
    <n v="50"/>
    <n v="5"/>
    <n v="250"/>
    <x v="2"/>
    <s v="Mrs."/>
    <x v="4"/>
  </r>
  <r>
    <x v="248"/>
    <x v="148"/>
    <x v="2"/>
    <x v="1"/>
    <n v="25"/>
    <n v="3"/>
    <n v="75"/>
    <x v="2"/>
    <s v="Mrs."/>
    <x v="1"/>
  </r>
  <r>
    <x v="249"/>
    <x v="176"/>
    <x v="2"/>
    <x v="1"/>
    <n v="25"/>
    <n v="6"/>
    <n v="150"/>
    <x v="2"/>
    <s v="Mrs."/>
    <x v="4"/>
  </r>
  <r>
    <x v="250"/>
    <x v="18"/>
    <x v="6"/>
    <x v="1"/>
    <n v="40"/>
    <n v="13"/>
    <n v="520"/>
    <x v="0"/>
    <s v="Mrs."/>
    <x v="1"/>
  </r>
  <r>
    <x v="251"/>
    <x v="84"/>
    <x v="1"/>
    <x v="0"/>
    <n v="20"/>
    <n v="8"/>
    <n v="160"/>
    <x v="2"/>
    <s v="Mr."/>
    <x v="4"/>
  </r>
  <r>
    <x v="252"/>
    <x v="177"/>
    <x v="2"/>
    <x v="1"/>
    <n v="25"/>
    <n v="13"/>
    <n v="325"/>
    <x v="2"/>
    <s v="Mr."/>
    <x v="1"/>
  </r>
  <r>
    <x v="253"/>
    <x v="121"/>
    <x v="6"/>
    <x v="1"/>
    <n v="40"/>
    <n v="12"/>
    <n v="480"/>
    <x v="0"/>
    <s v="Mrs."/>
    <x v="1"/>
  </r>
  <r>
    <x v="254"/>
    <x v="178"/>
    <x v="1"/>
    <x v="0"/>
    <n v="20"/>
    <n v="7"/>
    <n v="140"/>
    <x v="0"/>
    <s v="Mrs."/>
    <x v="1"/>
  </r>
  <r>
    <x v="255"/>
    <x v="47"/>
    <x v="0"/>
    <x v="0"/>
    <n v="20"/>
    <n v="3"/>
    <n v="60"/>
    <x v="2"/>
    <s v="Mrs."/>
    <x v="4"/>
  </r>
  <r>
    <x v="256"/>
    <x v="141"/>
    <x v="5"/>
    <x v="0"/>
    <n v="60"/>
    <n v="10"/>
    <n v="600"/>
    <x v="1"/>
    <s v="Mrs."/>
    <x v="4"/>
  </r>
  <r>
    <x v="257"/>
    <x v="179"/>
    <x v="1"/>
    <x v="0"/>
    <n v="20"/>
    <n v="14"/>
    <n v="280"/>
    <x v="1"/>
    <s v="Mr."/>
    <x v="4"/>
  </r>
  <r>
    <x v="258"/>
    <x v="180"/>
    <x v="5"/>
    <x v="0"/>
    <n v="60"/>
    <n v="4"/>
    <n v="240"/>
    <x v="2"/>
    <s v="Mr."/>
    <x v="3"/>
  </r>
  <r>
    <x v="259"/>
    <x v="181"/>
    <x v="2"/>
    <x v="1"/>
    <n v="25"/>
    <n v="2"/>
    <n v="50"/>
    <x v="2"/>
    <s v="Mrs."/>
    <x v="0"/>
  </r>
  <r>
    <x v="260"/>
    <x v="182"/>
    <x v="4"/>
    <x v="0"/>
    <n v="50"/>
    <n v="9"/>
    <n v="450"/>
    <x v="1"/>
    <s v="Mrs."/>
    <x v="4"/>
  </r>
  <r>
    <x v="261"/>
    <x v="183"/>
    <x v="1"/>
    <x v="0"/>
    <n v="20"/>
    <n v="5"/>
    <n v="100"/>
    <x v="0"/>
    <s v="Mrs."/>
    <x v="2"/>
  </r>
  <r>
    <x v="262"/>
    <x v="184"/>
    <x v="3"/>
    <x v="0"/>
    <n v="20"/>
    <n v="2"/>
    <n v="40"/>
    <x v="1"/>
    <s v="Mr."/>
    <x v="2"/>
  </r>
  <r>
    <x v="263"/>
    <x v="185"/>
    <x v="2"/>
    <x v="1"/>
    <n v="25"/>
    <n v="12"/>
    <n v="300"/>
    <x v="2"/>
    <s v="Mr."/>
    <x v="3"/>
  </r>
  <r>
    <x v="264"/>
    <x v="40"/>
    <x v="1"/>
    <x v="0"/>
    <n v="20"/>
    <n v="6"/>
    <n v="120"/>
    <x v="1"/>
    <s v="Mr."/>
    <x v="4"/>
  </r>
  <r>
    <x v="265"/>
    <x v="4"/>
    <x v="4"/>
    <x v="0"/>
    <n v="50"/>
    <n v="10"/>
    <n v="500"/>
    <x v="2"/>
    <s v="Mrs."/>
    <x v="0"/>
  </r>
  <r>
    <x v="266"/>
    <x v="183"/>
    <x v="1"/>
    <x v="0"/>
    <n v="20"/>
    <n v="1"/>
    <n v="20"/>
    <x v="1"/>
    <s v="Mr."/>
    <x v="3"/>
  </r>
  <r>
    <x v="267"/>
    <x v="30"/>
    <x v="6"/>
    <x v="1"/>
    <n v="40"/>
    <n v="12"/>
    <n v="480"/>
    <x v="1"/>
    <s v="Mrs."/>
    <x v="4"/>
  </r>
  <r>
    <x v="268"/>
    <x v="7"/>
    <x v="3"/>
    <x v="0"/>
    <n v="20"/>
    <n v="2"/>
    <n v="40"/>
    <x v="0"/>
    <s v="Mrs."/>
    <x v="4"/>
  </r>
  <r>
    <x v="269"/>
    <x v="186"/>
    <x v="5"/>
    <x v="0"/>
    <n v="60"/>
    <n v="13"/>
    <n v="780"/>
    <x v="1"/>
    <s v="Mr."/>
    <x v="2"/>
  </r>
  <r>
    <x v="270"/>
    <x v="6"/>
    <x v="1"/>
    <x v="0"/>
    <n v="20"/>
    <n v="13"/>
    <n v="260"/>
    <x v="1"/>
    <s v="Mr."/>
    <x v="2"/>
  </r>
  <r>
    <x v="271"/>
    <x v="64"/>
    <x v="4"/>
    <x v="0"/>
    <n v="50"/>
    <n v="5"/>
    <n v="250"/>
    <x v="2"/>
    <s v="Mrs."/>
    <x v="0"/>
  </r>
  <r>
    <x v="272"/>
    <x v="40"/>
    <x v="3"/>
    <x v="0"/>
    <n v="20"/>
    <n v="15"/>
    <n v="300"/>
    <x v="1"/>
    <s v="Mr."/>
    <x v="4"/>
  </r>
  <r>
    <x v="273"/>
    <x v="187"/>
    <x v="2"/>
    <x v="1"/>
    <n v="25"/>
    <n v="10"/>
    <n v="250"/>
    <x v="2"/>
    <s v="Mr."/>
    <x v="0"/>
  </r>
  <r>
    <x v="274"/>
    <x v="31"/>
    <x v="1"/>
    <x v="0"/>
    <n v="20"/>
    <n v="15"/>
    <n v="300"/>
    <x v="2"/>
    <s v="Mr."/>
    <x v="0"/>
  </r>
  <r>
    <x v="275"/>
    <x v="188"/>
    <x v="2"/>
    <x v="1"/>
    <n v="25"/>
    <n v="6"/>
    <n v="150"/>
    <x v="1"/>
    <s v="Mr."/>
    <x v="4"/>
  </r>
  <r>
    <x v="276"/>
    <x v="189"/>
    <x v="6"/>
    <x v="1"/>
    <n v="40"/>
    <n v="13"/>
    <n v="520"/>
    <x v="1"/>
    <s v="Mrs."/>
    <x v="4"/>
  </r>
  <r>
    <x v="277"/>
    <x v="184"/>
    <x v="4"/>
    <x v="0"/>
    <n v="50"/>
    <n v="6"/>
    <n v="300"/>
    <x v="2"/>
    <s v="Mrs."/>
    <x v="0"/>
  </r>
  <r>
    <x v="278"/>
    <x v="28"/>
    <x v="1"/>
    <x v="0"/>
    <n v="20"/>
    <n v="15"/>
    <n v="300"/>
    <x v="1"/>
    <s v="Mrs."/>
    <x v="1"/>
  </r>
  <r>
    <x v="279"/>
    <x v="121"/>
    <x v="3"/>
    <x v="0"/>
    <n v="20"/>
    <n v="14"/>
    <n v="280"/>
    <x v="2"/>
    <s v="Mrs."/>
    <x v="2"/>
  </r>
  <r>
    <x v="280"/>
    <x v="124"/>
    <x v="5"/>
    <x v="0"/>
    <n v="60"/>
    <n v="3"/>
    <n v="180"/>
    <x v="1"/>
    <s v="Mrs."/>
    <x v="1"/>
  </r>
  <r>
    <x v="281"/>
    <x v="46"/>
    <x v="1"/>
    <x v="0"/>
    <n v="20"/>
    <n v="13"/>
    <n v="260"/>
    <x v="0"/>
    <s v="Mrs."/>
    <x v="3"/>
  </r>
  <r>
    <x v="282"/>
    <x v="33"/>
    <x v="3"/>
    <x v="0"/>
    <n v="20"/>
    <n v="2"/>
    <n v="40"/>
    <x v="1"/>
    <s v="Mrs."/>
    <x v="4"/>
  </r>
  <r>
    <x v="283"/>
    <x v="190"/>
    <x v="4"/>
    <x v="0"/>
    <n v="50"/>
    <n v="7"/>
    <n v="350"/>
    <x v="0"/>
    <s v="Mr."/>
    <x v="1"/>
  </r>
  <r>
    <x v="284"/>
    <x v="191"/>
    <x v="0"/>
    <x v="0"/>
    <n v="20"/>
    <n v="3"/>
    <n v="60"/>
    <x v="0"/>
    <s v="Mr."/>
    <x v="0"/>
  </r>
  <r>
    <x v="285"/>
    <x v="192"/>
    <x v="1"/>
    <x v="0"/>
    <n v="20"/>
    <n v="6"/>
    <n v="120"/>
    <x v="0"/>
    <s v="Mr."/>
    <x v="0"/>
  </r>
  <r>
    <x v="286"/>
    <x v="91"/>
    <x v="0"/>
    <x v="0"/>
    <n v="20"/>
    <n v="3"/>
    <n v="60"/>
    <x v="1"/>
    <s v="Mr."/>
    <x v="3"/>
  </r>
  <r>
    <x v="287"/>
    <x v="16"/>
    <x v="5"/>
    <x v="0"/>
    <n v="60"/>
    <n v="7"/>
    <n v="420"/>
    <x v="1"/>
    <s v="Mr."/>
    <x v="0"/>
  </r>
  <r>
    <x v="288"/>
    <x v="193"/>
    <x v="0"/>
    <x v="0"/>
    <n v="20"/>
    <n v="7"/>
    <n v="140"/>
    <x v="2"/>
    <s v="Mrs."/>
    <x v="4"/>
  </r>
  <r>
    <x v="289"/>
    <x v="6"/>
    <x v="3"/>
    <x v="0"/>
    <n v="20"/>
    <n v="7"/>
    <n v="140"/>
    <x v="1"/>
    <s v="Mrs."/>
    <x v="3"/>
  </r>
  <r>
    <x v="290"/>
    <x v="194"/>
    <x v="4"/>
    <x v="0"/>
    <n v="50"/>
    <n v="8"/>
    <n v="400"/>
    <x v="2"/>
    <s v="Mrs."/>
    <x v="0"/>
  </r>
  <r>
    <x v="291"/>
    <x v="195"/>
    <x v="4"/>
    <x v="0"/>
    <n v="50"/>
    <n v="2"/>
    <n v="100"/>
    <x v="1"/>
    <s v="Mrs."/>
    <x v="4"/>
  </r>
  <r>
    <x v="292"/>
    <x v="196"/>
    <x v="3"/>
    <x v="0"/>
    <n v="20"/>
    <n v="8"/>
    <n v="160"/>
    <x v="2"/>
    <s v="Mrs."/>
    <x v="3"/>
  </r>
  <r>
    <x v="293"/>
    <x v="197"/>
    <x v="0"/>
    <x v="0"/>
    <n v="20"/>
    <n v="1"/>
    <n v="20"/>
    <x v="1"/>
    <s v="Mrs."/>
    <x v="2"/>
  </r>
  <r>
    <x v="294"/>
    <x v="127"/>
    <x v="5"/>
    <x v="0"/>
    <n v="60"/>
    <n v="7"/>
    <n v="420"/>
    <x v="1"/>
    <s v="Mr."/>
    <x v="4"/>
  </r>
  <r>
    <x v="295"/>
    <x v="198"/>
    <x v="3"/>
    <x v="0"/>
    <n v="20"/>
    <n v="7"/>
    <n v="140"/>
    <x v="1"/>
    <s v="Mrs."/>
    <x v="1"/>
  </r>
  <r>
    <x v="296"/>
    <x v="178"/>
    <x v="5"/>
    <x v="0"/>
    <n v="60"/>
    <n v="10"/>
    <n v="600"/>
    <x v="2"/>
    <s v="Mr."/>
    <x v="2"/>
  </r>
  <r>
    <x v="297"/>
    <x v="199"/>
    <x v="2"/>
    <x v="1"/>
    <n v="25"/>
    <n v="9"/>
    <n v="225"/>
    <x v="1"/>
    <s v="Mrs."/>
    <x v="1"/>
  </r>
  <r>
    <x v="298"/>
    <x v="200"/>
    <x v="0"/>
    <x v="0"/>
    <n v="20"/>
    <n v="1"/>
    <n v="20"/>
    <x v="2"/>
    <s v="Mrs."/>
    <x v="2"/>
  </r>
  <r>
    <x v="299"/>
    <x v="201"/>
    <x v="0"/>
    <x v="0"/>
    <n v="20"/>
    <n v="8"/>
    <n v="160"/>
    <x v="1"/>
    <s v="Mr."/>
    <x v="1"/>
  </r>
  <r>
    <x v="300"/>
    <x v="27"/>
    <x v="3"/>
    <x v="0"/>
    <n v="20"/>
    <n v="7"/>
    <n v="140"/>
    <x v="1"/>
    <s v="Mr."/>
    <x v="0"/>
  </r>
  <r>
    <x v="301"/>
    <x v="202"/>
    <x v="0"/>
    <x v="0"/>
    <n v="20"/>
    <n v="14"/>
    <n v="280"/>
    <x v="1"/>
    <s v="Mr."/>
    <x v="0"/>
  </r>
  <r>
    <x v="302"/>
    <x v="33"/>
    <x v="2"/>
    <x v="1"/>
    <n v="25"/>
    <n v="1"/>
    <n v="25"/>
    <x v="1"/>
    <s v="Mrs."/>
    <x v="4"/>
  </r>
  <r>
    <x v="303"/>
    <x v="203"/>
    <x v="1"/>
    <x v="0"/>
    <n v="20"/>
    <n v="15"/>
    <n v="300"/>
    <x v="2"/>
    <s v="Mr."/>
    <x v="3"/>
  </r>
  <r>
    <x v="304"/>
    <x v="183"/>
    <x v="3"/>
    <x v="0"/>
    <n v="20"/>
    <n v="4"/>
    <n v="80"/>
    <x v="0"/>
    <s v="Mrs."/>
    <x v="3"/>
  </r>
  <r>
    <x v="305"/>
    <x v="71"/>
    <x v="6"/>
    <x v="1"/>
    <n v="40"/>
    <n v="8"/>
    <n v="320"/>
    <x v="2"/>
    <s v="Mrs."/>
    <x v="3"/>
  </r>
  <r>
    <x v="306"/>
    <x v="136"/>
    <x v="1"/>
    <x v="0"/>
    <n v="20"/>
    <n v="8"/>
    <n v="160"/>
    <x v="1"/>
    <s v="Mr."/>
    <x v="2"/>
  </r>
  <r>
    <x v="307"/>
    <x v="60"/>
    <x v="5"/>
    <x v="0"/>
    <n v="60"/>
    <n v="13"/>
    <n v="780"/>
    <x v="2"/>
    <s v="Mr."/>
    <x v="2"/>
  </r>
  <r>
    <x v="308"/>
    <x v="103"/>
    <x v="5"/>
    <x v="0"/>
    <n v="60"/>
    <n v="8"/>
    <n v="480"/>
    <x v="2"/>
    <s v="Mr."/>
    <x v="2"/>
  </r>
  <r>
    <x v="309"/>
    <x v="204"/>
    <x v="1"/>
    <x v="0"/>
    <n v="20"/>
    <n v="4"/>
    <n v="80"/>
    <x v="1"/>
    <s v="Mr."/>
    <x v="1"/>
  </r>
  <r>
    <x v="310"/>
    <x v="168"/>
    <x v="4"/>
    <x v="0"/>
    <n v="50"/>
    <n v="7"/>
    <n v="350"/>
    <x v="0"/>
    <s v="Mrs."/>
    <x v="3"/>
  </r>
  <r>
    <x v="311"/>
    <x v="49"/>
    <x v="6"/>
    <x v="1"/>
    <n v="40"/>
    <n v="1"/>
    <n v="40"/>
    <x v="1"/>
    <s v="Mrs."/>
    <x v="0"/>
  </r>
  <r>
    <x v="312"/>
    <x v="134"/>
    <x v="6"/>
    <x v="1"/>
    <n v="40"/>
    <n v="1"/>
    <n v="40"/>
    <x v="1"/>
    <s v="Mr."/>
    <x v="4"/>
  </r>
  <r>
    <x v="313"/>
    <x v="205"/>
    <x v="4"/>
    <x v="0"/>
    <n v="50"/>
    <n v="8"/>
    <n v="400"/>
    <x v="2"/>
    <s v="Mrs."/>
    <x v="3"/>
  </r>
  <r>
    <x v="314"/>
    <x v="158"/>
    <x v="6"/>
    <x v="1"/>
    <n v="40"/>
    <n v="13"/>
    <n v="520"/>
    <x v="2"/>
    <s v="Mrs."/>
    <x v="1"/>
  </r>
  <r>
    <x v="315"/>
    <x v="45"/>
    <x v="4"/>
    <x v="0"/>
    <n v="50"/>
    <n v="4"/>
    <n v="200"/>
    <x v="2"/>
    <s v="Mr."/>
    <x v="3"/>
  </r>
  <r>
    <x v="316"/>
    <x v="206"/>
    <x v="0"/>
    <x v="0"/>
    <n v="20"/>
    <n v="12"/>
    <n v="240"/>
    <x v="2"/>
    <s v="Mrs."/>
    <x v="1"/>
  </r>
  <r>
    <x v="317"/>
    <x v="18"/>
    <x v="0"/>
    <x v="0"/>
    <n v="20"/>
    <n v="10"/>
    <n v="200"/>
    <x v="2"/>
    <s v="Mrs."/>
    <x v="4"/>
  </r>
  <r>
    <x v="318"/>
    <x v="154"/>
    <x v="4"/>
    <x v="0"/>
    <n v="50"/>
    <n v="15"/>
    <n v="750"/>
    <x v="1"/>
    <s v="Mr."/>
    <x v="1"/>
  </r>
  <r>
    <x v="319"/>
    <x v="207"/>
    <x v="2"/>
    <x v="1"/>
    <n v="25"/>
    <n v="7"/>
    <n v="175"/>
    <x v="1"/>
    <s v="Mrs."/>
    <x v="1"/>
  </r>
  <r>
    <x v="320"/>
    <x v="145"/>
    <x v="4"/>
    <x v="0"/>
    <n v="50"/>
    <n v="12"/>
    <n v="600"/>
    <x v="1"/>
    <s v="Mrs."/>
    <x v="2"/>
  </r>
  <r>
    <x v="321"/>
    <x v="162"/>
    <x v="6"/>
    <x v="1"/>
    <n v="40"/>
    <n v="11"/>
    <n v="440"/>
    <x v="1"/>
    <s v="Mr."/>
    <x v="3"/>
  </r>
  <r>
    <x v="322"/>
    <x v="208"/>
    <x v="0"/>
    <x v="0"/>
    <n v="20"/>
    <n v="4"/>
    <n v="80"/>
    <x v="1"/>
    <s v="Mr."/>
    <x v="3"/>
  </r>
  <r>
    <x v="323"/>
    <x v="185"/>
    <x v="2"/>
    <x v="1"/>
    <n v="25"/>
    <n v="15"/>
    <n v="375"/>
    <x v="2"/>
    <s v="Mrs."/>
    <x v="0"/>
  </r>
  <r>
    <x v="324"/>
    <x v="137"/>
    <x v="0"/>
    <x v="0"/>
    <n v="20"/>
    <n v="12"/>
    <n v="240"/>
    <x v="0"/>
    <s v="Mrs."/>
    <x v="1"/>
  </r>
  <r>
    <x v="325"/>
    <x v="6"/>
    <x v="5"/>
    <x v="0"/>
    <n v="60"/>
    <n v="8"/>
    <n v="480"/>
    <x v="1"/>
    <s v="Mr."/>
    <x v="2"/>
  </r>
  <r>
    <x v="326"/>
    <x v="169"/>
    <x v="4"/>
    <x v="0"/>
    <n v="50"/>
    <n v="15"/>
    <n v="750"/>
    <x v="1"/>
    <s v="Mrs."/>
    <x v="4"/>
  </r>
  <r>
    <x v="327"/>
    <x v="209"/>
    <x v="1"/>
    <x v="0"/>
    <n v="20"/>
    <n v="3"/>
    <n v="60"/>
    <x v="2"/>
    <s v="Mr."/>
    <x v="2"/>
  </r>
  <r>
    <x v="328"/>
    <x v="61"/>
    <x v="3"/>
    <x v="0"/>
    <n v="20"/>
    <n v="7"/>
    <n v="140"/>
    <x v="2"/>
    <s v="Mrs."/>
    <x v="1"/>
  </r>
  <r>
    <x v="329"/>
    <x v="210"/>
    <x v="3"/>
    <x v="0"/>
    <n v="20"/>
    <n v="8"/>
    <n v="160"/>
    <x v="0"/>
    <s v="Mr."/>
    <x v="3"/>
  </r>
  <r>
    <x v="330"/>
    <x v="211"/>
    <x v="3"/>
    <x v="0"/>
    <n v="20"/>
    <n v="4"/>
    <n v="80"/>
    <x v="2"/>
    <s v="Mrs."/>
    <x v="2"/>
  </r>
  <r>
    <x v="331"/>
    <x v="212"/>
    <x v="0"/>
    <x v="0"/>
    <n v="20"/>
    <n v="2"/>
    <n v="40"/>
    <x v="0"/>
    <s v="Mrs."/>
    <x v="1"/>
  </r>
  <r>
    <x v="332"/>
    <x v="213"/>
    <x v="2"/>
    <x v="1"/>
    <n v="25"/>
    <n v="11"/>
    <n v="275"/>
    <x v="1"/>
    <s v="Mrs."/>
    <x v="1"/>
  </r>
  <r>
    <x v="333"/>
    <x v="214"/>
    <x v="6"/>
    <x v="1"/>
    <n v="40"/>
    <n v="4"/>
    <n v="160"/>
    <x v="1"/>
    <s v="Mrs."/>
    <x v="2"/>
  </r>
  <r>
    <x v="334"/>
    <x v="126"/>
    <x v="6"/>
    <x v="1"/>
    <n v="40"/>
    <n v="11"/>
    <n v="440"/>
    <x v="1"/>
    <s v="Mr."/>
    <x v="0"/>
  </r>
  <r>
    <x v="335"/>
    <x v="140"/>
    <x v="2"/>
    <x v="1"/>
    <n v="25"/>
    <n v="13"/>
    <n v="325"/>
    <x v="0"/>
    <s v="Mrs."/>
    <x v="4"/>
  </r>
  <r>
    <x v="336"/>
    <x v="215"/>
    <x v="0"/>
    <x v="0"/>
    <n v="20"/>
    <n v="14"/>
    <n v="280"/>
    <x v="2"/>
    <s v="Mrs."/>
    <x v="4"/>
  </r>
  <r>
    <x v="337"/>
    <x v="29"/>
    <x v="2"/>
    <x v="1"/>
    <n v="25"/>
    <n v="12"/>
    <n v="300"/>
    <x v="1"/>
    <s v="Mr."/>
    <x v="3"/>
  </r>
  <r>
    <x v="338"/>
    <x v="216"/>
    <x v="2"/>
    <x v="1"/>
    <n v="25"/>
    <n v="1"/>
    <n v="25"/>
    <x v="0"/>
    <s v="Mrs."/>
    <x v="4"/>
  </r>
  <r>
    <x v="339"/>
    <x v="217"/>
    <x v="6"/>
    <x v="1"/>
    <n v="40"/>
    <n v="4"/>
    <n v="160"/>
    <x v="1"/>
    <s v="Mrs."/>
    <x v="2"/>
  </r>
  <r>
    <x v="340"/>
    <x v="113"/>
    <x v="4"/>
    <x v="0"/>
    <n v="50"/>
    <n v="9"/>
    <n v="450"/>
    <x v="1"/>
    <s v="Mrs."/>
    <x v="2"/>
  </r>
  <r>
    <x v="341"/>
    <x v="218"/>
    <x v="1"/>
    <x v="0"/>
    <n v="20"/>
    <n v="7"/>
    <n v="140"/>
    <x v="2"/>
    <s v="Mr."/>
    <x v="1"/>
  </r>
  <r>
    <x v="342"/>
    <x v="219"/>
    <x v="2"/>
    <x v="1"/>
    <n v="25"/>
    <n v="5"/>
    <n v="125"/>
    <x v="1"/>
    <s v="Mr."/>
    <x v="1"/>
  </r>
  <r>
    <x v="343"/>
    <x v="78"/>
    <x v="6"/>
    <x v="1"/>
    <n v="40"/>
    <n v="14"/>
    <n v="560"/>
    <x v="1"/>
    <s v="Mr."/>
    <x v="0"/>
  </r>
  <r>
    <x v="344"/>
    <x v="38"/>
    <x v="3"/>
    <x v="0"/>
    <n v="20"/>
    <n v="14"/>
    <n v="280"/>
    <x v="2"/>
    <s v="Mrs."/>
    <x v="0"/>
  </r>
  <r>
    <x v="345"/>
    <x v="220"/>
    <x v="6"/>
    <x v="1"/>
    <n v="40"/>
    <n v="12"/>
    <n v="480"/>
    <x v="1"/>
    <s v="Mr."/>
    <x v="3"/>
  </r>
  <r>
    <x v="346"/>
    <x v="221"/>
    <x v="4"/>
    <x v="0"/>
    <n v="50"/>
    <n v="7"/>
    <n v="350"/>
    <x v="1"/>
    <s v="Mrs."/>
    <x v="1"/>
  </r>
  <r>
    <x v="347"/>
    <x v="222"/>
    <x v="1"/>
    <x v="0"/>
    <n v="20"/>
    <n v="1"/>
    <n v="20"/>
    <x v="2"/>
    <s v="Mrs."/>
    <x v="4"/>
  </r>
  <r>
    <x v="348"/>
    <x v="66"/>
    <x v="3"/>
    <x v="0"/>
    <n v="20"/>
    <n v="5"/>
    <n v="100"/>
    <x v="1"/>
    <s v="Mrs."/>
    <x v="2"/>
  </r>
  <r>
    <x v="349"/>
    <x v="155"/>
    <x v="6"/>
    <x v="1"/>
    <n v="40"/>
    <n v="8"/>
    <n v="320"/>
    <x v="2"/>
    <s v="Mrs."/>
    <x v="3"/>
  </r>
  <r>
    <x v="350"/>
    <x v="223"/>
    <x v="4"/>
    <x v="0"/>
    <n v="50"/>
    <n v="5"/>
    <n v="250"/>
    <x v="2"/>
    <s v="Mrs."/>
    <x v="0"/>
  </r>
  <r>
    <x v="351"/>
    <x v="224"/>
    <x v="4"/>
    <x v="0"/>
    <n v="50"/>
    <n v="11"/>
    <n v="550"/>
    <x v="1"/>
    <s v="Mrs."/>
    <x v="0"/>
  </r>
  <r>
    <x v="352"/>
    <x v="225"/>
    <x v="1"/>
    <x v="0"/>
    <n v="20"/>
    <n v="4"/>
    <n v="80"/>
    <x v="2"/>
    <s v="Mrs."/>
    <x v="4"/>
  </r>
  <r>
    <x v="353"/>
    <x v="195"/>
    <x v="3"/>
    <x v="0"/>
    <n v="20"/>
    <n v="14"/>
    <n v="280"/>
    <x v="2"/>
    <s v="Mr."/>
    <x v="4"/>
  </r>
  <r>
    <x v="354"/>
    <x v="143"/>
    <x v="6"/>
    <x v="1"/>
    <n v="40"/>
    <n v="4"/>
    <n v="160"/>
    <x v="2"/>
    <s v="Mr."/>
    <x v="4"/>
  </r>
  <r>
    <x v="355"/>
    <x v="20"/>
    <x v="2"/>
    <x v="1"/>
    <n v="25"/>
    <n v="14"/>
    <n v="350"/>
    <x v="1"/>
    <s v="Mrs."/>
    <x v="0"/>
  </r>
  <r>
    <x v="356"/>
    <x v="155"/>
    <x v="5"/>
    <x v="0"/>
    <n v="60"/>
    <n v="9"/>
    <n v="540"/>
    <x v="2"/>
    <s v="Mrs."/>
    <x v="1"/>
  </r>
  <r>
    <x v="357"/>
    <x v="87"/>
    <x v="0"/>
    <x v="0"/>
    <n v="20"/>
    <n v="6"/>
    <n v="120"/>
    <x v="1"/>
    <s v="Mr."/>
    <x v="0"/>
  </r>
  <r>
    <x v="358"/>
    <x v="138"/>
    <x v="0"/>
    <x v="0"/>
    <n v="20"/>
    <n v="13"/>
    <n v="260"/>
    <x v="2"/>
    <s v="Mrs."/>
    <x v="0"/>
  </r>
  <r>
    <x v="359"/>
    <x v="226"/>
    <x v="6"/>
    <x v="1"/>
    <n v="40"/>
    <n v="2"/>
    <n v="80"/>
    <x v="2"/>
    <s v="Mrs."/>
    <x v="4"/>
  </r>
  <r>
    <x v="360"/>
    <x v="154"/>
    <x v="5"/>
    <x v="0"/>
    <n v="60"/>
    <n v="15"/>
    <n v="900"/>
    <x v="0"/>
    <s v="Mrs."/>
    <x v="0"/>
  </r>
  <r>
    <x v="361"/>
    <x v="118"/>
    <x v="2"/>
    <x v="1"/>
    <n v="25"/>
    <n v="2"/>
    <n v="50"/>
    <x v="1"/>
    <s v="Mr."/>
    <x v="3"/>
  </r>
  <r>
    <x v="362"/>
    <x v="38"/>
    <x v="4"/>
    <x v="0"/>
    <n v="50"/>
    <n v="9"/>
    <n v="450"/>
    <x v="2"/>
    <s v="Mr."/>
    <x v="1"/>
  </r>
  <r>
    <x v="363"/>
    <x v="144"/>
    <x v="6"/>
    <x v="1"/>
    <n v="40"/>
    <n v="2"/>
    <n v="80"/>
    <x v="2"/>
    <s v="Mr."/>
    <x v="0"/>
  </r>
  <r>
    <x v="364"/>
    <x v="223"/>
    <x v="3"/>
    <x v="0"/>
    <n v="20"/>
    <n v="10"/>
    <n v="200"/>
    <x v="2"/>
    <s v="Mr."/>
    <x v="0"/>
  </r>
  <r>
    <x v="365"/>
    <x v="227"/>
    <x v="2"/>
    <x v="1"/>
    <n v="25"/>
    <n v="10"/>
    <n v="250"/>
    <x v="2"/>
    <s v="Mrs."/>
    <x v="1"/>
  </r>
  <r>
    <x v="366"/>
    <x v="132"/>
    <x v="3"/>
    <x v="0"/>
    <n v="20"/>
    <n v="6"/>
    <n v="120"/>
    <x v="0"/>
    <s v="Mr."/>
    <x v="1"/>
  </r>
  <r>
    <x v="367"/>
    <x v="22"/>
    <x v="6"/>
    <x v="1"/>
    <n v="40"/>
    <n v="2"/>
    <n v="80"/>
    <x v="1"/>
    <s v="Mr."/>
    <x v="0"/>
  </r>
  <r>
    <x v="368"/>
    <x v="0"/>
    <x v="5"/>
    <x v="0"/>
    <n v="60"/>
    <n v="2"/>
    <n v="120"/>
    <x v="2"/>
    <s v="Mrs."/>
    <x v="2"/>
  </r>
  <r>
    <x v="369"/>
    <x v="203"/>
    <x v="3"/>
    <x v="0"/>
    <n v="20"/>
    <n v="5"/>
    <n v="100"/>
    <x v="0"/>
    <s v="Mrs."/>
    <x v="4"/>
  </r>
  <r>
    <x v="370"/>
    <x v="228"/>
    <x v="1"/>
    <x v="0"/>
    <n v="20"/>
    <n v="5"/>
    <n v="100"/>
    <x v="2"/>
    <s v="Mrs."/>
    <x v="0"/>
  </r>
  <r>
    <x v="371"/>
    <x v="69"/>
    <x v="4"/>
    <x v="0"/>
    <n v="50"/>
    <n v="12"/>
    <n v="600"/>
    <x v="0"/>
    <s v="Mr."/>
    <x v="3"/>
  </r>
  <r>
    <x v="372"/>
    <x v="83"/>
    <x v="2"/>
    <x v="1"/>
    <n v="25"/>
    <n v="12"/>
    <n v="300"/>
    <x v="1"/>
    <s v="Mrs."/>
    <x v="4"/>
  </r>
  <r>
    <x v="373"/>
    <x v="229"/>
    <x v="4"/>
    <x v="0"/>
    <n v="50"/>
    <n v="10"/>
    <n v="500"/>
    <x v="2"/>
    <s v="Mr."/>
    <x v="4"/>
  </r>
  <r>
    <x v="374"/>
    <x v="120"/>
    <x v="3"/>
    <x v="0"/>
    <n v="20"/>
    <n v="13"/>
    <n v="260"/>
    <x v="1"/>
    <s v="Mr."/>
    <x v="2"/>
  </r>
  <r>
    <x v="375"/>
    <x v="159"/>
    <x v="4"/>
    <x v="0"/>
    <n v="50"/>
    <n v="15"/>
    <n v="750"/>
    <x v="1"/>
    <s v="Mr."/>
    <x v="4"/>
  </r>
  <r>
    <x v="376"/>
    <x v="147"/>
    <x v="2"/>
    <x v="1"/>
    <n v="25"/>
    <n v="3"/>
    <n v="75"/>
    <x v="2"/>
    <s v="Mrs."/>
    <x v="2"/>
  </r>
  <r>
    <x v="377"/>
    <x v="101"/>
    <x v="1"/>
    <x v="0"/>
    <n v="20"/>
    <n v="2"/>
    <n v="40"/>
    <x v="1"/>
    <s v="Mrs."/>
    <x v="4"/>
  </r>
  <r>
    <x v="378"/>
    <x v="230"/>
    <x v="6"/>
    <x v="1"/>
    <n v="40"/>
    <n v="14"/>
    <n v="560"/>
    <x v="0"/>
    <s v="Mr."/>
    <x v="1"/>
  </r>
  <r>
    <x v="379"/>
    <x v="231"/>
    <x v="5"/>
    <x v="0"/>
    <n v="60"/>
    <n v="5"/>
    <n v="300"/>
    <x v="2"/>
    <s v="Mrs."/>
    <x v="1"/>
  </r>
  <r>
    <x v="380"/>
    <x v="115"/>
    <x v="1"/>
    <x v="0"/>
    <n v="20"/>
    <n v="1"/>
    <n v="20"/>
    <x v="2"/>
    <s v="Mr."/>
    <x v="3"/>
  </r>
  <r>
    <x v="381"/>
    <x v="232"/>
    <x v="6"/>
    <x v="1"/>
    <n v="40"/>
    <n v="9"/>
    <n v="360"/>
    <x v="1"/>
    <s v="Mrs."/>
    <x v="0"/>
  </r>
  <r>
    <x v="382"/>
    <x v="29"/>
    <x v="0"/>
    <x v="0"/>
    <n v="20"/>
    <n v="7"/>
    <n v="140"/>
    <x v="2"/>
    <s v="Mrs."/>
    <x v="3"/>
  </r>
  <r>
    <x v="383"/>
    <x v="233"/>
    <x v="2"/>
    <x v="1"/>
    <n v="25"/>
    <n v="1"/>
    <n v="25"/>
    <x v="2"/>
    <s v="Mr."/>
    <x v="1"/>
  </r>
  <r>
    <x v="384"/>
    <x v="204"/>
    <x v="1"/>
    <x v="0"/>
    <n v="20"/>
    <n v="5"/>
    <n v="100"/>
    <x v="1"/>
    <s v="Mr."/>
    <x v="3"/>
  </r>
  <r>
    <x v="385"/>
    <x v="50"/>
    <x v="4"/>
    <x v="0"/>
    <n v="50"/>
    <n v="5"/>
    <n v="250"/>
    <x v="2"/>
    <s v="Mr."/>
    <x v="4"/>
  </r>
  <r>
    <x v="386"/>
    <x v="234"/>
    <x v="2"/>
    <x v="1"/>
    <n v="25"/>
    <n v="14"/>
    <n v="350"/>
    <x v="1"/>
    <s v="Mrs."/>
    <x v="4"/>
  </r>
  <r>
    <x v="387"/>
    <x v="121"/>
    <x v="5"/>
    <x v="0"/>
    <n v="60"/>
    <n v="14"/>
    <n v="840"/>
    <x v="1"/>
    <s v="Mr."/>
    <x v="2"/>
  </r>
  <r>
    <x v="388"/>
    <x v="7"/>
    <x v="5"/>
    <x v="0"/>
    <n v="60"/>
    <n v="12"/>
    <n v="720"/>
    <x v="1"/>
    <s v="Mrs."/>
    <x v="2"/>
  </r>
  <r>
    <x v="389"/>
    <x v="177"/>
    <x v="2"/>
    <x v="1"/>
    <n v="25"/>
    <n v="5"/>
    <n v="125"/>
    <x v="0"/>
    <s v="Mr."/>
    <x v="4"/>
  </r>
  <r>
    <x v="390"/>
    <x v="196"/>
    <x v="0"/>
    <x v="0"/>
    <n v="20"/>
    <n v="1"/>
    <n v="20"/>
    <x v="2"/>
    <s v="Mrs."/>
    <x v="0"/>
  </r>
  <r>
    <x v="391"/>
    <x v="119"/>
    <x v="0"/>
    <x v="0"/>
    <n v="20"/>
    <n v="15"/>
    <n v="300"/>
    <x v="2"/>
    <s v="Mr."/>
    <x v="0"/>
  </r>
  <r>
    <x v="392"/>
    <x v="33"/>
    <x v="2"/>
    <x v="1"/>
    <n v="25"/>
    <n v="10"/>
    <n v="250"/>
    <x v="2"/>
    <s v="Mrs."/>
    <x v="2"/>
  </r>
  <r>
    <x v="393"/>
    <x v="235"/>
    <x v="5"/>
    <x v="0"/>
    <n v="60"/>
    <n v="1"/>
    <n v="60"/>
    <x v="1"/>
    <s v="Mrs."/>
    <x v="3"/>
  </r>
  <r>
    <x v="394"/>
    <x v="220"/>
    <x v="5"/>
    <x v="0"/>
    <n v="60"/>
    <n v="3"/>
    <n v="180"/>
    <x v="1"/>
    <s v="Mrs."/>
    <x v="2"/>
  </r>
  <r>
    <x v="395"/>
    <x v="236"/>
    <x v="4"/>
    <x v="0"/>
    <n v="50"/>
    <n v="15"/>
    <n v="750"/>
    <x v="2"/>
    <s v="Mr."/>
    <x v="3"/>
  </r>
  <r>
    <x v="396"/>
    <x v="100"/>
    <x v="0"/>
    <x v="0"/>
    <n v="20"/>
    <n v="2"/>
    <n v="40"/>
    <x v="2"/>
    <s v="Mrs."/>
    <x v="1"/>
  </r>
  <r>
    <x v="397"/>
    <x v="142"/>
    <x v="3"/>
    <x v="0"/>
    <n v="20"/>
    <n v="6"/>
    <n v="120"/>
    <x v="2"/>
    <s v="Mr."/>
    <x v="2"/>
  </r>
  <r>
    <x v="398"/>
    <x v="221"/>
    <x v="3"/>
    <x v="0"/>
    <n v="20"/>
    <n v="9"/>
    <n v="180"/>
    <x v="1"/>
    <s v="Mrs."/>
    <x v="2"/>
  </r>
  <r>
    <x v="399"/>
    <x v="237"/>
    <x v="6"/>
    <x v="1"/>
    <n v="40"/>
    <n v="15"/>
    <n v="600"/>
    <x v="1"/>
    <s v="Mrs."/>
    <x v="3"/>
  </r>
  <r>
    <x v="400"/>
    <x v="144"/>
    <x v="2"/>
    <x v="1"/>
    <n v="25"/>
    <n v="8"/>
    <n v="200"/>
    <x v="2"/>
    <s v="Mrs."/>
    <x v="4"/>
  </r>
  <r>
    <x v="401"/>
    <x v="113"/>
    <x v="4"/>
    <x v="0"/>
    <n v="50"/>
    <n v="7"/>
    <n v="350"/>
    <x v="1"/>
    <s v="Mr."/>
    <x v="0"/>
  </r>
  <r>
    <x v="402"/>
    <x v="238"/>
    <x v="6"/>
    <x v="1"/>
    <n v="40"/>
    <n v="3"/>
    <n v="120"/>
    <x v="2"/>
    <s v="Mrs."/>
    <x v="4"/>
  </r>
  <r>
    <x v="403"/>
    <x v="239"/>
    <x v="4"/>
    <x v="0"/>
    <n v="50"/>
    <n v="7"/>
    <n v="350"/>
    <x v="1"/>
    <s v="Mrs."/>
    <x v="4"/>
  </r>
  <r>
    <x v="404"/>
    <x v="128"/>
    <x v="2"/>
    <x v="1"/>
    <n v="25"/>
    <n v="10"/>
    <n v="250"/>
    <x v="1"/>
    <s v="Mr."/>
    <x v="0"/>
  </r>
  <r>
    <x v="405"/>
    <x v="240"/>
    <x v="6"/>
    <x v="1"/>
    <n v="40"/>
    <n v="4"/>
    <n v="160"/>
    <x v="2"/>
    <s v="Mrs."/>
    <x v="1"/>
  </r>
  <r>
    <x v="406"/>
    <x v="160"/>
    <x v="2"/>
    <x v="1"/>
    <n v="25"/>
    <n v="2"/>
    <n v="50"/>
    <x v="1"/>
    <s v="Mr."/>
    <x v="2"/>
  </r>
  <r>
    <x v="407"/>
    <x v="241"/>
    <x v="1"/>
    <x v="0"/>
    <n v="20"/>
    <n v="4"/>
    <n v="80"/>
    <x v="2"/>
    <s v="Mr."/>
    <x v="4"/>
  </r>
  <r>
    <x v="408"/>
    <x v="17"/>
    <x v="0"/>
    <x v="0"/>
    <n v="20"/>
    <n v="9"/>
    <n v="180"/>
    <x v="1"/>
    <s v="Mrs."/>
    <x v="3"/>
  </r>
  <r>
    <x v="409"/>
    <x v="50"/>
    <x v="0"/>
    <x v="0"/>
    <n v="20"/>
    <n v="15"/>
    <n v="300"/>
    <x v="2"/>
    <s v="Mr."/>
    <x v="1"/>
  </r>
  <r>
    <x v="410"/>
    <x v="2"/>
    <x v="3"/>
    <x v="0"/>
    <n v="20"/>
    <n v="12"/>
    <n v="240"/>
    <x v="1"/>
    <s v="Mr."/>
    <x v="1"/>
  </r>
  <r>
    <x v="411"/>
    <x v="63"/>
    <x v="2"/>
    <x v="1"/>
    <n v="25"/>
    <n v="14"/>
    <n v="350"/>
    <x v="0"/>
    <s v="Mr."/>
    <x v="1"/>
  </r>
  <r>
    <x v="412"/>
    <x v="235"/>
    <x v="0"/>
    <x v="0"/>
    <n v="20"/>
    <n v="10"/>
    <n v="200"/>
    <x v="2"/>
    <s v="Mrs."/>
    <x v="4"/>
  </r>
  <r>
    <x v="413"/>
    <x v="242"/>
    <x v="6"/>
    <x v="1"/>
    <n v="40"/>
    <n v="13"/>
    <n v="520"/>
    <x v="0"/>
    <s v="Mr."/>
    <x v="0"/>
  </r>
  <r>
    <x v="414"/>
    <x v="62"/>
    <x v="1"/>
    <x v="0"/>
    <n v="20"/>
    <n v="8"/>
    <n v="160"/>
    <x v="2"/>
    <s v="Mr."/>
    <x v="2"/>
  </r>
  <r>
    <x v="415"/>
    <x v="243"/>
    <x v="5"/>
    <x v="0"/>
    <n v="60"/>
    <n v="9"/>
    <n v="540"/>
    <x v="0"/>
    <s v="Mr."/>
    <x v="3"/>
  </r>
  <r>
    <x v="416"/>
    <x v="195"/>
    <x v="3"/>
    <x v="0"/>
    <n v="20"/>
    <n v="3"/>
    <n v="60"/>
    <x v="1"/>
    <s v="Mr."/>
    <x v="2"/>
  </r>
  <r>
    <x v="417"/>
    <x v="173"/>
    <x v="6"/>
    <x v="1"/>
    <n v="40"/>
    <n v="7"/>
    <n v="280"/>
    <x v="2"/>
    <s v="Mr."/>
    <x v="0"/>
  </r>
  <r>
    <x v="418"/>
    <x v="244"/>
    <x v="2"/>
    <x v="1"/>
    <n v="25"/>
    <n v="14"/>
    <n v="350"/>
    <x v="0"/>
    <s v="Mrs."/>
    <x v="4"/>
  </r>
  <r>
    <x v="419"/>
    <x v="125"/>
    <x v="4"/>
    <x v="0"/>
    <n v="50"/>
    <n v="13"/>
    <n v="650"/>
    <x v="2"/>
    <s v="Mrs."/>
    <x v="2"/>
  </r>
  <r>
    <x v="420"/>
    <x v="245"/>
    <x v="6"/>
    <x v="1"/>
    <n v="40"/>
    <n v="2"/>
    <n v="80"/>
    <x v="2"/>
    <s v="Mr."/>
    <x v="4"/>
  </r>
  <r>
    <x v="421"/>
    <x v="246"/>
    <x v="6"/>
    <x v="1"/>
    <n v="40"/>
    <n v="7"/>
    <n v="280"/>
    <x v="2"/>
    <s v="Mr."/>
    <x v="2"/>
  </r>
  <r>
    <x v="422"/>
    <x v="247"/>
    <x v="4"/>
    <x v="0"/>
    <n v="50"/>
    <n v="7"/>
    <n v="350"/>
    <x v="1"/>
    <s v="Mrs."/>
    <x v="0"/>
  </r>
  <r>
    <x v="423"/>
    <x v="196"/>
    <x v="2"/>
    <x v="1"/>
    <n v="25"/>
    <n v="9"/>
    <n v="225"/>
    <x v="2"/>
    <s v="Mrs."/>
    <x v="4"/>
  </r>
  <r>
    <x v="424"/>
    <x v="66"/>
    <x v="3"/>
    <x v="0"/>
    <n v="20"/>
    <n v="14"/>
    <n v="280"/>
    <x v="2"/>
    <s v="Mr."/>
    <x v="1"/>
  </r>
  <r>
    <x v="425"/>
    <x v="139"/>
    <x v="4"/>
    <x v="0"/>
    <n v="50"/>
    <n v="14"/>
    <n v="700"/>
    <x v="1"/>
    <s v="Mr."/>
    <x v="4"/>
  </r>
  <r>
    <x v="426"/>
    <x v="248"/>
    <x v="5"/>
    <x v="0"/>
    <n v="60"/>
    <n v="2"/>
    <n v="120"/>
    <x v="2"/>
    <s v="Mr."/>
    <x v="1"/>
  </r>
  <r>
    <x v="427"/>
    <x v="81"/>
    <x v="2"/>
    <x v="1"/>
    <n v="25"/>
    <n v="8"/>
    <n v="200"/>
    <x v="2"/>
    <s v="Mr."/>
    <x v="1"/>
  </r>
  <r>
    <x v="428"/>
    <x v="222"/>
    <x v="6"/>
    <x v="1"/>
    <n v="40"/>
    <n v="3"/>
    <n v="120"/>
    <x v="2"/>
    <s v="Mr."/>
    <x v="0"/>
  </r>
  <r>
    <x v="429"/>
    <x v="15"/>
    <x v="5"/>
    <x v="0"/>
    <n v="60"/>
    <n v="4"/>
    <n v="240"/>
    <x v="2"/>
    <s v="Mr."/>
    <x v="0"/>
  </r>
  <r>
    <x v="430"/>
    <x v="47"/>
    <x v="3"/>
    <x v="0"/>
    <n v="20"/>
    <n v="6"/>
    <n v="120"/>
    <x v="2"/>
    <s v="Mr."/>
    <x v="2"/>
  </r>
  <r>
    <x v="431"/>
    <x v="249"/>
    <x v="3"/>
    <x v="0"/>
    <n v="20"/>
    <n v="6"/>
    <n v="120"/>
    <x v="2"/>
    <s v="Mr."/>
    <x v="1"/>
  </r>
  <r>
    <x v="432"/>
    <x v="250"/>
    <x v="3"/>
    <x v="0"/>
    <n v="20"/>
    <n v="14"/>
    <n v="280"/>
    <x v="2"/>
    <s v="Mrs."/>
    <x v="2"/>
  </r>
  <r>
    <x v="433"/>
    <x v="211"/>
    <x v="0"/>
    <x v="0"/>
    <n v="20"/>
    <n v="12"/>
    <n v="240"/>
    <x v="1"/>
    <s v="Mr."/>
    <x v="3"/>
  </r>
  <r>
    <x v="434"/>
    <x v="83"/>
    <x v="5"/>
    <x v="0"/>
    <n v="60"/>
    <n v="1"/>
    <n v="60"/>
    <x v="1"/>
    <s v="Mrs."/>
    <x v="1"/>
  </r>
  <r>
    <x v="435"/>
    <x v="34"/>
    <x v="4"/>
    <x v="0"/>
    <n v="50"/>
    <n v="10"/>
    <n v="500"/>
    <x v="1"/>
    <s v="Mr."/>
    <x v="4"/>
  </r>
  <r>
    <x v="436"/>
    <x v="22"/>
    <x v="6"/>
    <x v="1"/>
    <n v="40"/>
    <n v="1"/>
    <n v="40"/>
    <x v="0"/>
    <s v="Mr."/>
    <x v="3"/>
  </r>
  <r>
    <x v="437"/>
    <x v="135"/>
    <x v="6"/>
    <x v="1"/>
    <n v="40"/>
    <n v="5"/>
    <n v="200"/>
    <x v="2"/>
    <s v="Mr."/>
    <x v="3"/>
  </r>
  <r>
    <x v="438"/>
    <x v="188"/>
    <x v="4"/>
    <x v="0"/>
    <n v="50"/>
    <n v="13"/>
    <n v="650"/>
    <x v="2"/>
    <s v="Mr."/>
    <x v="1"/>
  </r>
  <r>
    <x v="439"/>
    <x v="193"/>
    <x v="0"/>
    <x v="0"/>
    <n v="20"/>
    <n v="7"/>
    <n v="140"/>
    <x v="1"/>
    <s v="Mr."/>
    <x v="1"/>
  </r>
  <r>
    <x v="440"/>
    <x v="45"/>
    <x v="0"/>
    <x v="0"/>
    <n v="20"/>
    <n v="1"/>
    <n v="20"/>
    <x v="2"/>
    <s v="Mrs."/>
    <x v="4"/>
  </r>
  <r>
    <x v="441"/>
    <x v="16"/>
    <x v="2"/>
    <x v="1"/>
    <n v="25"/>
    <n v="7"/>
    <n v="175"/>
    <x v="2"/>
    <s v="Mrs."/>
    <x v="0"/>
  </r>
  <r>
    <x v="442"/>
    <x v="251"/>
    <x v="2"/>
    <x v="1"/>
    <n v="25"/>
    <n v="12"/>
    <n v="300"/>
    <x v="1"/>
    <s v="Mrs."/>
    <x v="0"/>
  </r>
  <r>
    <x v="443"/>
    <x v="252"/>
    <x v="4"/>
    <x v="0"/>
    <n v="50"/>
    <n v="4"/>
    <n v="200"/>
    <x v="0"/>
    <s v="Mr."/>
    <x v="2"/>
  </r>
  <r>
    <x v="444"/>
    <x v="233"/>
    <x v="5"/>
    <x v="0"/>
    <n v="60"/>
    <n v="14"/>
    <n v="840"/>
    <x v="2"/>
    <s v="Mrs."/>
    <x v="3"/>
  </r>
  <r>
    <x v="445"/>
    <x v="22"/>
    <x v="6"/>
    <x v="1"/>
    <n v="40"/>
    <n v="9"/>
    <n v="360"/>
    <x v="1"/>
    <s v="Mr."/>
    <x v="0"/>
  </r>
  <r>
    <x v="446"/>
    <x v="253"/>
    <x v="4"/>
    <x v="0"/>
    <n v="50"/>
    <n v="6"/>
    <n v="300"/>
    <x v="2"/>
    <s v="Mrs."/>
    <x v="1"/>
  </r>
  <r>
    <x v="447"/>
    <x v="157"/>
    <x v="1"/>
    <x v="0"/>
    <n v="20"/>
    <n v="6"/>
    <n v="120"/>
    <x v="1"/>
    <s v="Mrs."/>
    <x v="2"/>
  </r>
  <r>
    <x v="448"/>
    <x v="254"/>
    <x v="4"/>
    <x v="0"/>
    <n v="50"/>
    <n v="4"/>
    <n v="200"/>
    <x v="1"/>
    <s v="Mr."/>
    <x v="1"/>
  </r>
  <r>
    <x v="449"/>
    <x v="147"/>
    <x v="2"/>
    <x v="1"/>
    <n v="25"/>
    <n v="1"/>
    <n v="25"/>
    <x v="2"/>
    <s v="Mr."/>
    <x v="3"/>
  </r>
  <r>
    <x v="450"/>
    <x v="143"/>
    <x v="2"/>
    <x v="1"/>
    <n v="25"/>
    <n v="10"/>
    <n v="250"/>
    <x v="1"/>
    <s v="Mrs."/>
    <x v="4"/>
  </r>
  <r>
    <x v="451"/>
    <x v="54"/>
    <x v="4"/>
    <x v="0"/>
    <n v="50"/>
    <n v="5"/>
    <n v="250"/>
    <x v="2"/>
    <s v="Mr."/>
    <x v="1"/>
  </r>
  <r>
    <x v="452"/>
    <x v="231"/>
    <x v="5"/>
    <x v="0"/>
    <n v="60"/>
    <n v="1"/>
    <n v="60"/>
    <x v="2"/>
    <s v="Mrs."/>
    <x v="4"/>
  </r>
  <r>
    <x v="453"/>
    <x v="165"/>
    <x v="5"/>
    <x v="0"/>
    <n v="60"/>
    <n v="1"/>
    <n v="60"/>
    <x v="2"/>
    <s v="Mrs."/>
    <x v="2"/>
  </r>
  <r>
    <x v="454"/>
    <x v="255"/>
    <x v="6"/>
    <x v="1"/>
    <n v="40"/>
    <n v="11"/>
    <n v="440"/>
    <x v="1"/>
    <s v="Mr."/>
    <x v="4"/>
  </r>
  <r>
    <x v="455"/>
    <x v="256"/>
    <x v="6"/>
    <x v="1"/>
    <n v="40"/>
    <n v="13"/>
    <n v="520"/>
    <x v="0"/>
    <s v="Mrs."/>
    <x v="0"/>
  </r>
  <r>
    <x v="456"/>
    <x v="14"/>
    <x v="6"/>
    <x v="1"/>
    <n v="40"/>
    <n v="11"/>
    <n v="440"/>
    <x v="1"/>
    <s v="Mr."/>
    <x v="2"/>
  </r>
  <r>
    <x v="457"/>
    <x v="257"/>
    <x v="2"/>
    <x v="1"/>
    <n v="25"/>
    <n v="8"/>
    <n v="200"/>
    <x v="1"/>
    <s v="Mrs."/>
    <x v="4"/>
  </r>
  <r>
    <x v="458"/>
    <x v="258"/>
    <x v="1"/>
    <x v="0"/>
    <n v="20"/>
    <n v="14"/>
    <n v="280"/>
    <x v="1"/>
    <s v="Mr."/>
    <x v="0"/>
  </r>
  <r>
    <x v="459"/>
    <x v="2"/>
    <x v="0"/>
    <x v="0"/>
    <n v="20"/>
    <n v="2"/>
    <n v="40"/>
    <x v="1"/>
    <s v="Mr."/>
    <x v="3"/>
  </r>
  <r>
    <x v="460"/>
    <x v="200"/>
    <x v="2"/>
    <x v="1"/>
    <n v="25"/>
    <n v="5"/>
    <n v="125"/>
    <x v="1"/>
    <s v="Mr."/>
    <x v="4"/>
  </r>
  <r>
    <x v="461"/>
    <x v="101"/>
    <x v="1"/>
    <x v="0"/>
    <n v="20"/>
    <n v="3"/>
    <n v="60"/>
    <x v="1"/>
    <s v="Mr."/>
    <x v="3"/>
  </r>
  <r>
    <x v="462"/>
    <x v="53"/>
    <x v="5"/>
    <x v="0"/>
    <n v="60"/>
    <n v="6"/>
    <n v="360"/>
    <x v="2"/>
    <s v="Mr."/>
    <x v="4"/>
  </r>
  <r>
    <x v="463"/>
    <x v="228"/>
    <x v="2"/>
    <x v="1"/>
    <n v="25"/>
    <n v="13"/>
    <n v="325"/>
    <x v="1"/>
    <s v="Mr."/>
    <x v="3"/>
  </r>
  <r>
    <x v="464"/>
    <x v="259"/>
    <x v="2"/>
    <x v="1"/>
    <n v="25"/>
    <n v="12"/>
    <n v="300"/>
    <x v="2"/>
    <s v="Mr."/>
    <x v="2"/>
  </r>
  <r>
    <x v="465"/>
    <x v="182"/>
    <x v="3"/>
    <x v="0"/>
    <n v="20"/>
    <n v="6"/>
    <n v="120"/>
    <x v="1"/>
    <s v="Mr."/>
    <x v="2"/>
  </r>
  <r>
    <x v="466"/>
    <x v="55"/>
    <x v="0"/>
    <x v="0"/>
    <n v="20"/>
    <n v="11"/>
    <n v="220"/>
    <x v="2"/>
    <s v="Mr."/>
    <x v="3"/>
  </r>
  <r>
    <x v="467"/>
    <x v="260"/>
    <x v="3"/>
    <x v="0"/>
    <n v="20"/>
    <n v="2"/>
    <n v="40"/>
    <x v="1"/>
    <s v="Mr."/>
    <x v="2"/>
  </r>
  <r>
    <x v="468"/>
    <x v="59"/>
    <x v="5"/>
    <x v="0"/>
    <n v="60"/>
    <n v="7"/>
    <n v="420"/>
    <x v="2"/>
    <s v="Mrs."/>
    <x v="3"/>
  </r>
  <r>
    <x v="469"/>
    <x v="163"/>
    <x v="1"/>
    <x v="0"/>
    <n v="20"/>
    <n v="8"/>
    <n v="160"/>
    <x v="1"/>
    <s v="Mrs."/>
    <x v="3"/>
  </r>
  <r>
    <x v="470"/>
    <x v="136"/>
    <x v="3"/>
    <x v="0"/>
    <n v="20"/>
    <n v="7"/>
    <n v="140"/>
    <x v="1"/>
    <s v="Mrs."/>
    <x v="1"/>
  </r>
  <r>
    <x v="471"/>
    <x v="182"/>
    <x v="3"/>
    <x v="0"/>
    <n v="20"/>
    <n v="10"/>
    <n v="200"/>
    <x v="0"/>
    <s v="Mr."/>
    <x v="4"/>
  </r>
  <r>
    <x v="472"/>
    <x v="94"/>
    <x v="5"/>
    <x v="0"/>
    <n v="60"/>
    <n v="5"/>
    <n v="300"/>
    <x v="1"/>
    <s v="Mrs."/>
    <x v="2"/>
  </r>
  <r>
    <x v="473"/>
    <x v="39"/>
    <x v="2"/>
    <x v="1"/>
    <n v="25"/>
    <n v="15"/>
    <n v="375"/>
    <x v="1"/>
    <s v="Mrs."/>
    <x v="0"/>
  </r>
  <r>
    <x v="474"/>
    <x v="95"/>
    <x v="6"/>
    <x v="1"/>
    <n v="40"/>
    <n v="6"/>
    <n v="240"/>
    <x v="1"/>
    <s v="Mrs."/>
    <x v="0"/>
  </r>
  <r>
    <x v="475"/>
    <x v="65"/>
    <x v="0"/>
    <x v="0"/>
    <n v="20"/>
    <n v="10"/>
    <n v="200"/>
    <x v="1"/>
    <s v="Mr."/>
    <x v="3"/>
  </r>
  <r>
    <x v="476"/>
    <x v="136"/>
    <x v="5"/>
    <x v="0"/>
    <n v="60"/>
    <n v="15"/>
    <n v="900"/>
    <x v="1"/>
    <s v="Mrs."/>
    <x v="4"/>
  </r>
  <r>
    <x v="477"/>
    <x v="261"/>
    <x v="2"/>
    <x v="1"/>
    <n v="25"/>
    <n v="9"/>
    <n v="225"/>
    <x v="1"/>
    <s v="Mrs."/>
    <x v="1"/>
  </r>
  <r>
    <x v="478"/>
    <x v="136"/>
    <x v="5"/>
    <x v="0"/>
    <n v="60"/>
    <n v="11"/>
    <n v="660"/>
    <x v="1"/>
    <s v="Mrs."/>
    <x v="1"/>
  </r>
  <r>
    <x v="479"/>
    <x v="4"/>
    <x v="1"/>
    <x v="0"/>
    <n v="20"/>
    <n v="12"/>
    <n v="240"/>
    <x v="1"/>
    <s v="Mr."/>
    <x v="2"/>
  </r>
  <r>
    <x v="480"/>
    <x v="76"/>
    <x v="2"/>
    <x v="1"/>
    <n v="25"/>
    <n v="4"/>
    <n v="100"/>
    <x v="1"/>
    <s v="Mr."/>
    <x v="2"/>
  </r>
  <r>
    <x v="481"/>
    <x v="220"/>
    <x v="0"/>
    <x v="0"/>
    <n v="20"/>
    <n v="1"/>
    <n v="20"/>
    <x v="2"/>
    <s v="Mr."/>
    <x v="1"/>
  </r>
  <r>
    <x v="482"/>
    <x v="262"/>
    <x v="3"/>
    <x v="0"/>
    <n v="20"/>
    <n v="9"/>
    <n v="180"/>
    <x v="1"/>
    <s v="Mrs."/>
    <x v="3"/>
  </r>
  <r>
    <x v="483"/>
    <x v="202"/>
    <x v="6"/>
    <x v="1"/>
    <n v="40"/>
    <n v="5"/>
    <n v="200"/>
    <x v="1"/>
    <s v="Mrs."/>
    <x v="1"/>
  </r>
  <r>
    <x v="484"/>
    <x v="115"/>
    <x v="0"/>
    <x v="0"/>
    <n v="20"/>
    <n v="6"/>
    <n v="120"/>
    <x v="1"/>
    <s v="Mrs."/>
    <x v="4"/>
  </r>
  <r>
    <x v="485"/>
    <x v="263"/>
    <x v="1"/>
    <x v="0"/>
    <n v="20"/>
    <n v="6"/>
    <n v="120"/>
    <x v="1"/>
    <s v="Mrs."/>
    <x v="4"/>
  </r>
  <r>
    <x v="486"/>
    <x v="250"/>
    <x v="5"/>
    <x v="0"/>
    <n v="60"/>
    <n v="9"/>
    <n v="540"/>
    <x v="1"/>
    <s v="Mrs."/>
    <x v="4"/>
  </r>
  <r>
    <x v="487"/>
    <x v="155"/>
    <x v="6"/>
    <x v="1"/>
    <n v="40"/>
    <n v="10"/>
    <n v="400"/>
    <x v="1"/>
    <s v="Mr."/>
    <x v="4"/>
  </r>
  <r>
    <x v="488"/>
    <x v="3"/>
    <x v="4"/>
    <x v="0"/>
    <n v="50"/>
    <n v="13"/>
    <n v="650"/>
    <x v="2"/>
    <s v="Mrs."/>
    <x v="2"/>
  </r>
  <r>
    <x v="489"/>
    <x v="264"/>
    <x v="6"/>
    <x v="1"/>
    <n v="40"/>
    <n v="8"/>
    <n v="320"/>
    <x v="1"/>
    <s v="Mr."/>
    <x v="3"/>
  </r>
  <r>
    <x v="490"/>
    <x v="265"/>
    <x v="1"/>
    <x v="0"/>
    <n v="20"/>
    <n v="2"/>
    <n v="40"/>
    <x v="2"/>
    <s v="Mrs."/>
    <x v="4"/>
  </r>
  <r>
    <x v="491"/>
    <x v="266"/>
    <x v="5"/>
    <x v="0"/>
    <n v="60"/>
    <n v="15"/>
    <n v="900"/>
    <x v="1"/>
    <s v="Mr."/>
    <x v="1"/>
  </r>
  <r>
    <x v="492"/>
    <x v="4"/>
    <x v="6"/>
    <x v="1"/>
    <n v="40"/>
    <n v="2"/>
    <n v="80"/>
    <x v="2"/>
    <s v="Mr."/>
    <x v="3"/>
  </r>
  <r>
    <x v="493"/>
    <x v="111"/>
    <x v="6"/>
    <x v="1"/>
    <n v="40"/>
    <n v="10"/>
    <n v="400"/>
    <x v="1"/>
    <s v="Mrs."/>
    <x v="0"/>
  </r>
  <r>
    <x v="494"/>
    <x v="231"/>
    <x v="0"/>
    <x v="0"/>
    <n v="20"/>
    <n v="13"/>
    <n v="260"/>
    <x v="2"/>
    <s v="Mrs."/>
    <x v="4"/>
  </r>
  <r>
    <x v="495"/>
    <x v="267"/>
    <x v="6"/>
    <x v="1"/>
    <n v="40"/>
    <n v="10"/>
    <n v="400"/>
    <x v="2"/>
    <s v="Mrs."/>
    <x v="0"/>
  </r>
  <r>
    <x v="496"/>
    <x v="88"/>
    <x v="5"/>
    <x v="0"/>
    <n v="60"/>
    <n v="7"/>
    <n v="420"/>
    <x v="1"/>
    <s v="Mr."/>
    <x v="4"/>
  </r>
  <r>
    <x v="497"/>
    <x v="209"/>
    <x v="4"/>
    <x v="0"/>
    <n v="50"/>
    <n v="1"/>
    <n v="50"/>
    <x v="1"/>
    <s v="Mr."/>
    <x v="4"/>
  </r>
  <r>
    <x v="498"/>
    <x v="157"/>
    <x v="5"/>
    <x v="0"/>
    <n v="60"/>
    <n v="8"/>
    <n v="480"/>
    <x v="2"/>
    <s v="Mrs."/>
    <x v="2"/>
  </r>
  <r>
    <x v="499"/>
    <x v="105"/>
    <x v="1"/>
    <x v="0"/>
    <n v="20"/>
    <n v="4"/>
    <n v="80"/>
    <x v="2"/>
    <s v="Mrs."/>
    <x v="4"/>
  </r>
  <r>
    <x v="500"/>
    <x v="124"/>
    <x v="2"/>
    <x v="1"/>
    <n v="25"/>
    <n v="14"/>
    <n v="350"/>
    <x v="2"/>
    <s v="Mrs."/>
    <x v="1"/>
  </r>
  <r>
    <x v="501"/>
    <x v="187"/>
    <x v="3"/>
    <x v="0"/>
    <n v="20"/>
    <n v="13"/>
    <n v="260"/>
    <x v="2"/>
    <s v="Mr."/>
    <x v="0"/>
  </r>
  <r>
    <x v="502"/>
    <x v="268"/>
    <x v="0"/>
    <x v="0"/>
    <n v="20"/>
    <n v="13"/>
    <n v="260"/>
    <x v="1"/>
    <s v="Mrs."/>
    <x v="3"/>
  </r>
  <r>
    <x v="503"/>
    <x v="56"/>
    <x v="6"/>
    <x v="1"/>
    <n v="40"/>
    <n v="8"/>
    <n v="320"/>
    <x v="1"/>
    <s v="Mr."/>
    <x v="2"/>
  </r>
  <r>
    <x v="504"/>
    <x v="269"/>
    <x v="4"/>
    <x v="0"/>
    <n v="50"/>
    <n v="4"/>
    <n v="200"/>
    <x v="1"/>
    <s v="Mr."/>
    <x v="0"/>
  </r>
  <r>
    <x v="505"/>
    <x v="264"/>
    <x v="6"/>
    <x v="1"/>
    <n v="40"/>
    <n v="12"/>
    <n v="480"/>
    <x v="1"/>
    <s v="Mrs."/>
    <x v="4"/>
  </r>
  <r>
    <x v="506"/>
    <x v="192"/>
    <x v="0"/>
    <x v="0"/>
    <n v="20"/>
    <n v="14"/>
    <n v="280"/>
    <x v="2"/>
    <s v="Mrs."/>
    <x v="3"/>
  </r>
  <r>
    <x v="507"/>
    <x v="164"/>
    <x v="5"/>
    <x v="0"/>
    <n v="60"/>
    <n v="1"/>
    <n v="60"/>
    <x v="1"/>
    <s v="Mr."/>
    <x v="0"/>
  </r>
  <r>
    <x v="508"/>
    <x v="148"/>
    <x v="1"/>
    <x v="0"/>
    <n v="20"/>
    <n v="11"/>
    <n v="220"/>
    <x v="2"/>
    <s v="Mr."/>
    <x v="2"/>
  </r>
  <r>
    <x v="509"/>
    <x v="214"/>
    <x v="5"/>
    <x v="0"/>
    <n v="60"/>
    <n v="14"/>
    <n v="840"/>
    <x v="2"/>
    <s v="Mr."/>
    <x v="1"/>
  </r>
  <r>
    <x v="510"/>
    <x v="246"/>
    <x v="3"/>
    <x v="0"/>
    <n v="20"/>
    <n v="4"/>
    <n v="80"/>
    <x v="1"/>
    <s v="Mrs."/>
    <x v="0"/>
  </r>
  <r>
    <x v="511"/>
    <x v="182"/>
    <x v="3"/>
    <x v="0"/>
    <n v="20"/>
    <n v="3"/>
    <n v="60"/>
    <x v="1"/>
    <s v="Mrs."/>
    <x v="1"/>
  </r>
  <r>
    <x v="512"/>
    <x v="270"/>
    <x v="6"/>
    <x v="1"/>
    <n v="40"/>
    <n v="5"/>
    <n v="200"/>
    <x v="1"/>
    <s v="Mrs."/>
    <x v="0"/>
  </r>
  <r>
    <x v="513"/>
    <x v="112"/>
    <x v="6"/>
    <x v="1"/>
    <n v="40"/>
    <n v="8"/>
    <n v="320"/>
    <x v="2"/>
    <s v="Mrs."/>
    <x v="2"/>
  </r>
  <r>
    <x v="514"/>
    <x v="45"/>
    <x v="5"/>
    <x v="0"/>
    <n v="60"/>
    <n v="7"/>
    <n v="420"/>
    <x v="0"/>
    <s v="Mrs."/>
    <x v="0"/>
  </r>
  <r>
    <x v="515"/>
    <x v="210"/>
    <x v="2"/>
    <x v="1"/>
    <n v="25"/>
    <n v="12"/>
    <n v="300"/>
    <x v="2"/>
    <s v="Mrs."/>
    <x v="4"/>
  </r>
  <r>
    <x v="516"/>
    <x v="33"/>
    <x v="3"/>
    <x v="0"/>
    <n v="20"/>
    <n v="13"/>
    <n v="260"/>
    <x v="2"/>
    <s v="Mr."/>
    <x v="2"/>
  </r>
  <r>
    <x v="517"/>
    <x v="56"/>
    <x v="0"/>
    <x v="0"/>
    <n v="20"/>
    <n v="6"/>
    <n v="120"/>
    <x v="1"/>
    <s v="Mrs."/>
    <x v="3"/>
  </r>
  <r>
    <x v="518"/>
    <x v="12"/>
    <x v="6"/>
    <x v="1"/>
    <n v="40"/>
    <n v="10"/>
    <n v="400"/>
    <x v="1"/>
    <s v="Mr."/>
    <x v="3"/>
  </r>
  <r>
    <x v="519"/>
    <x v="235"/>
    <x v="3"/>
    <x v="0"/>
    <n v="20"/>
    <n v="11"/>
    <n v="220"/>
    <x v="2"/>
    <s v="Mrs."/>
    <x v="0"/>
  </r>
  <r>
    <x v="520"/>
    <x v="194"/>
    <x v="3"/>
    <x v="0"/>
    <n v="20"/>
    <n v="14"/>
    <n v="280"/>
    <x v="2"/>
    <s v="Mr."/>
    <x v="3"/>
  </r>
  <r>
    <x v="521"/>
    <x v="208"/>
    <x v="3"/>
    <x v="0"/>
    <n v="20"/>
    <n v="13"/>
    <n v="260"/>
    <x v="1"/>
    <s v="Mrs."/>
    <x v="4"/>
  </r>
  <r>
    <x v="522"/>
    <x v="271"/>
    <x v="4"/>
    <x v="0"/>
    <n v="50"/>
    <n v="6"/>
    <n v="300"/>
    <x v="1"/>
    <s v="Mr."/>
    <x v="1"/>
  </r>
  <r>
    <x v="523"/>
    <x v="272"/>
    <x v="0"/>
    <x v="0"/>
    <n v="20"/>
    <n v="13"/>
    <n v="260"/>
    <x v="2"/>
    <s v="Mr."/>
    <x v="1"/>
  </r>
  <r>
    <x v="524"/>
    <x v="273"/>
    <x v="1"/>
    <x v="0"/>
    <n v="20"/>
    <n v="3"/>
    <n v="60"/>
    <x v="1"/>
    <s v="Mr."/>
    <x v="4"/>
  </r>
  <r>
    <x v="525"/>
    <x v="274"/>
    <x v="5"/>
    <x v="0"/>
    <n v="60"/>
    <n v="10"/>
    <n v="600"/>
    <x v="1"/>
    <s v="Mrs."/>
    <x v="2"/>
  </r>
  <r>
    <x v="526"/>
    <x v="25"/>
    <x v="2"/>
    <x v="1"/>
    <n v="25"/>
    <n v="6"/>
    <n v="150"/>
    <x v="1"/>
    <s v="Mrs."/>
    <x v="1"/>
  </r>
  <r>
    <x v="527"/>
    <x v="52"/>
    <x v="2"/>
    <x v="1"/>
    <n v="25"/>
    <n v="7"/>
    <n v="175"/>
    <x v="1"/>
    <s v="Mrs."/>
    <x v="4"/>
  </r>
  <r>
    <x v="528"/>
    <x v="59"/>
    <x v="0"/>
    <x v="0"/>
    <n v="20"/>
    <n v="12"/>
    <n v="240"/>
    <x v="0"/>
    <s v="Mrs."/>
    <x v="1"/>
  </r>
  <r>
    <x v="529"/>
    <x v="157"/>
    <x v="3"/>
    <x v="0"/>
    <n v="20"/>
    <n v="6"/>
    <n v="120"/>
    <x v="1"/>
    <s v="Mrs."/>
    <x v="0"/>
  </r>
  <r>
    <x v="530"/>
    <x v="19"/>
    <x v="6"/>
    <x v="1"/>
    <n v="40"/>
    <n v="10"/>
    <n v="400"/>
    <x v="1"/>
    <s v="Mr."/>
    <x v="0"/>
  </r>
  <r>
    <x v="531"/>
    <x v="249"/>
    <x v="3"/>
    <x v="0"/>
    <n v="20"/>
    <n v="13"/>
    <n v="260"/>
    <x v="2"/>
    <s v="Mrs."/>
    <x v="4"/>
  </r>
  <r>
    <x v="532"/>
    <x v="30"/>
    <x v="4"/>
    <x v="0"/>
    <n v="50"/>
    <n v="2"/>
    <n v="100"/>
    <x v="0"/>
    <s v="Mrs."/>
    <x v="0"/>
  </r>
  <r>
    <x v="533"/>
    <x v="46"/>
    <x v="1"/>
    <x v="0"/>
    <n v="20"/>
    <n v="2"/>
    <n v="40"/>
    <x v="2"/>
    <s v="Mrs."/>
    <x v="0"/>
  </r>
  <r>
    <x v="534"/>
    <x v="251"/>
    <x v="5"/>
    <x v="0"/>
    <n v="60"/>
    <n v="4"/>
    <n v="240"/>
    <x v="2"/>
    <s v="Mr."/>
    <x v="4"/>
  </r>
  <r>
    <x v="535"/>
    <x v="255"/>
    <x v="2"/>
    <x v="1"/>
    <n v="25"/>
    <n v="7"/>
    <n v="175"/>
    <x v="1"/>
    <s v="Mrs."/>
    <x v="2"/>
  </r>
  <r>
    <x v="536"/>
    <x v="88"/>
    <x v="3"/>
    <x v="0"/>
    <n v="20"/>
    <n v="3"/>
    <n v="60"/>
    <x v="1"/>
    <s v="Mr."/>
    <x v="2"/>
  </r>
  <r>
    <x v="537"/>
    <x v="275"/>
    <x v="3"/>
    <x v="0"/>
    <n v="20"/>
    <n v="7"/>
    <n v="140"/>
    <x v="2"/>
    <s v="Mr."/>
    <x v="3"/>
  </r>
  <r>
    <x v="538"/>
    <x v="186"/>
    <x v="3"/>
    <x v="0"/>
    <n v="20"/>
    <n v="3"/>
    <n v="60"/>
    <x v="2"/>
    <s v="Mr."/>
    <x v="2"/>
  </r>
  <r>
    <x v="539"/>
    <x v="250"/>
    <x v="1"/>
    <x v="0"/>
    <n v="20"/>
    <n v="13"/>
    <n v="260"/>
    <x v="1"/>
    <s v="Mr."/>
    <x v="1"/>
  </r>
  <r>
    <x v="540"/>
    <x v="276"/>
    <x v="3"/>
    <x v="0"/>
    <n v="20"/>
    <n v="12"/>
    <n v="240"/>
    <x v="1"/>
    <s v="Mr."/>
    <x v="0"/>
  </r>
  <r>
    <x v="541"/>
    <x v="51"/>
    <x v="2"/>
    <x v="1"/>
    <n v="25"/>
    <n v="9"/>
    <n v="225"/>
    <x v="1"/>
    <s v="Mr."/>
    <x v="2"/>
  </r>
  <r>
    <x v="542"/>
    <x v="104"/>
    <x v="0"/>
    <x v="0"/>
    <n v="20"/>
    <n v="15"/>
    <n v="300"/>
    <x v="1"/>
    <s v="Mrs."/>
    <x v="2"/>
  </r>
  <r>
    <x v="543"/>
    <x v="192"/>
    <x v="5"/>
    <x v="0"/>
    <n v="60"/>
    <n v="15"/>
    <n v="900"/>
    <x v="2"/>
    <s v="Mrs."/>
    <x v="3"/>
  </r>
  <r>
    <x v="544"/>
    <x v="277"/>
    <x v="5"/>
    <x v="0"/>
    <n v="60"/>
    <n v="13"/>
    <n v="780"/>
    <x v="2"/>
    <s v="Mrs."/>
    <x v="4"/>
  </r>
  <r>
    <x v="545"/>
    <x v="278"/>
    <x v="0"/>
    <x v="0"/>
    <n v="20"/>
    <n v="1"/>
    <n v="20"/>
    <x v="1"/>
    <s v="Mrs."/>
    <x v="4"/>
  </r>
  <r>
    <x v="546"/>
    <x v="36"/>
    <x v="6"/>
    <x v="1"/>
    <n v="40"/>
    <n v="10"/>
    <n v="400"/>
    <x v="2"/>
    <s v="Mr."/>
    <x v="3"/>
  </r>
  <r>
    <x v="547"/>
    <x v="80"/>
    <x v="6"/>
    <x v="1"/>
    <n v="40"/>
    <n v="14"/>
    <n v="560"/>
    <x v="1"/>
    <s v="Mr."/>
    <x v="1"/>
  </r>
  <r>
    <x v="548"/>
    <x v="279"/>
    <x v="2"/>
    <x v="1"/>
    <n v="25"/>
    <n v="3"/>
    <n v="75"/>
    <x v="2"/>
    <s v="Mr."/>
    <x v="1"/>
  </r>
  <r>
    <x v="549"/>
    <x v="176"/>
    <x v="6"/>
    <x v="1"/>
    <n v="40"/>
    <n v="15"/>
    <n v="600"/>
    <x v="2"/>
    <s v="Mr."/>
    <x v="1"/>
  </r>
  <r>
    <x v="550"/>
    <x v="276"/>
    <x v="2"/>
    <x v="1"/>
    <n v="25"/>
    <n v="7"/>
    <n v="175"/>
    <x v="1"/>
    <s v="Mr."/>
    <x v="2"/>
  </r>
  <r>
    <x v="551"/>
    <x v="257"/>
    <x v="2"/>
    <x v="1"/>
    <n v="25"/>
    <n v="15"/>
    <n v="375"/>
    <x v="1"/>
    <s v="Mrs."/>
    <x v="4"/>
  </r>
  <r>
    <x v="552"/>
    <x v="280"/>
    <x v="3"/>
    <x v="0"/>
    <n v="20"/>
    <n v="14"/>
    <n v="280"/>
    <x v="1"/>
    <s v="Mr."/>
    <x v="2"/>
  </r>
  <r>
    <x v="553"/>
    <x v="63"/>
    <x v="3"/>
    <x v="0"/>
    <n v="20"/>
    <n v="4"/>
    <n v="80"/>
    <x v="1"/>
    <s v="Mrs."/>
    <x v="1"/>
  </r>
  <r>
    <x v="554"/>
    <x v="167"/>
    <x v="5"/>
    <x v="0"/>
    <n v="60"/>
    <n v="6"/>
    <n v="360"/>
    <x v="1"/>
    <s v="Mrs."/>
    <x v="2"/>
  </r>
  <r>
    <x v="555"/>
    <x v="205"/>
    <x v="1"/>
    <x v="0"/>
    <n v="20"/>
    <n v="9"/>
    <n v="180"/>
    <x v="1"/>
    <s v="Mrs."/>
    <x v="0"/>
  </r>
  <r>
    <x v="556"/>
    <x v="154"/>
    <x v="5"/>
    <x v="0"/>
    <n v="60"/>
    <n v="2"/>
    <n v="120"/>
    <x v="1"/>
    <s v="Mrs."/>
    <x v="2"/>
  </r>
  <r>
    <x v="557"/>
    <x v="67"/>
    <x v="3"/>
    <x v="0"/>
    <n v="20"/>
    <n v="5"/>
    <n v="100"/>
    <x v="2"/>
    <s v="Mr."/>
    <x v="3"/>
  </r>
  <r>
    <x v="558"/>
    <x v="22"/>
    <x v="6"/>
    <x v="1"/>
    <n v="40"/>
    <n v="5"/>
    <n v="200"/>
    <x v="2"/>
    <s v="Mrs."/>
    <x v="0"/>
  </r>
  <r>
    <x v="559"/>
    <x v="164"/>
    <x v="2"/>
    <x v="1"/>
    <n v="25"/>
    <n v="1"/>
    <n v="25"/>
    <x v="1"/>
    <s v="Mr."/>
    <x v="2"/>
  </r>
  <r>
    <x v="560"/>
    <x v="281"/>
    <x v="3"/>
    <x v="0"/>
    <n v="20"/>
    <n v="1"/>
    <n v="20"/>
    <x v="1"/>
    <s v="Mrs."/>
    <x v="4"/>
  </r>
  <r>
    <x v="561"/>
    <x v="124"/>
    <x v="4"/>
    <x v="0"/>
    <n v="50"/>
    <n v="4"/>
    <n v="200"/>
    <x v="1"/>
    <s v="Mr."/>
    <x v="1"/>
  </r>
  <r>
    <x v="562"/>
    <x v="240"/>
    <x v="4"/>
    <x v="0"/>
    <n v="50"/>
    <n v="7"/>
    <n v="350"/>
    <x v="2"/>
    <s v="Mrs."/>
    <x v="2"/>
  </r>
  <r>
    <x v="563"/>
    <x v="282"/>
    <x v="6"/>
    <x v="1"/>
    <n v="40"/>
    <n v="2"/>
    <n v="80"/>
    <x v="0"/>
    <s v="Mr."/>
    <x v="3"/>
  </r>
  <r>
    <x v="564"/>
    <x v="282"/>
    <x v="3"/>
    <x v="0"/>
    <n v="20"/>
    <n v="15"/>
    <n v="300"/>
    <x v="1"/>
    <s v="Mr."/>
    <x v="2"/>
  </r>
  <r>
    <x v="565"/>
    <x v="199"/>
    <x v="4"/>
    <x v="0"/>
    <n v="50"/>
    <n v="3"/>
    <n v="150"/>
    <x v="1"/>
    <s v="Mr."/>
    <x v="2"/>
  </r>
  <r>
    <x v="566"/>
    <x v="14"/>
    <x v="6"/>
    <x v="1"/>
    <n v="40"/>
    <n v="7"/>
    <n v="280"/>
    <x v="2"/>
    <s v="Mrs."/>
    <x v="1"/>
  </r>
  <r>
    <x v="567"/>
    <x v="208"/>
    <x v="3"/>
    <x v="0"/>
    <n v="20"/>
    <n v="12"/>
    <n v="240"/>
    <x v="0"/>
    <s v="Mrs."/>
    <x v="1"/>
  </r>
  <r>
    <x v="568"/>
    <x v="160"/>
    <x v="6"/>
    <x v="1"/>
    <n v="40"/>
    <n v="15"/>
    <n v="600"/>
    <x v="2"/>
    <s v="Mrs."/>
    <x v="4"/>
  </r>
  <r>
    <x v="569"/>
    <x v="17"/>
    <x v="2"/>
    <x v="1"/>
    <n v="25"/>
    <n v="4"/>
    <n v="100"/>
    <x v="1"/>
    <s v="Mr."/>
    <x v="3"/>
  </r>
  <r>
    <x v="570"/>
    <x v="193"/>
    <x v="2"/>
    <x v="1"/>
    <n v="25"/>
    <n v="1"/>
    <n v="25"/>
    <x v="1"/>
    <s v="Mrs."/>
    <x v="2"/>
  </r>
  <r>
    <x v="571"/>
    <x v="283"/>
    <x v="5"/>
    <x v="0"/>
    <n v="60"/>
    <n v="15"/>
    <n v="900"/>
    <x v="1"/>
    <s v="Mr."/>
    <x v="1"/>
  </r>
  <r>
    <x v="572"/>
    <x v="186"/>
    <x v="4"/>
    <x v="0"/>
    <n v="50"/>
    <n v="2"/>
    <n v="100"/>
    <x v="1"/>
    <s v="Mr."/>
    <x v="1"/>
  </r>
  <r>
    <x v="573"/>
    <x v="233"/>
    <x v="0"/>
    <x v="0"/>
    <n v="20"/>
    <n v="1"/>
    <n v="20"/>
    <x v="1"/>
    <s v="Mrs."/>
    <x v="0"/>
  </r>
  <r>
    <x v="574"/>
    <x v="81"/>
    <x v="1"/>
    <x v="0"/>
    <n v="20"/>
    <n v="1"/>
    <n v="20"/>
    <x v="2"/>
    <s v="Mrs."/>
    <x v="4"/>
  </r>
  <r>
    <x v="575"/>
    <x v="166"/>
    <x v="3"/>
    <x v="0"/>
    <n v="20"/>
    <n v="12"/>
    <n v="240"/>
    <x v="1"/>
    <s v="Mrs."/>
    <x v="1"/>
  </r>
  <r>
    <x v="576"/>
    <x v="179"/>
    <x v="6"/>
    <x v="1"/>
    <n v="40"/>
    <n v="7"/>
    <n v="280"/>
    <x v="1"/>
    <s v="Mr."/>
    <x v="2"/>
  </r>
  <r>
    <x v="577"/>
    <x v="154"/>
    <x v="4"/>
    <x v="0"/>
    <n v="50"/>
    <n v="5"/>
    <n v="250"/>
    <x v="2"/>
    <s v="Mrs."/>
    <x v="0"/>
  </r>
  <r>
    <x v="578"/>
    <x v="262"/>
    <x v="3"/>
    <x v="0"/>
    <n v="20"/>
    <n v="2"/>
    <n v="40"/>
    <x v="1"/>
    <s v="Mr."/>
    <x v="2"/>
  </r>
  <r>
    <x v="579"/>
    <x v="52"/>
    <x v="3"/>
    <x v="0"/>
    <n v="20"/>
    <n v="10"/>
    <n v="200"/>
    <x v="2"/>
    <s v="Mr."/>
    <x v="0"/>
  </r>
  <r>
    <x v="580"/>
    <x v="150"/>
    <x v="2"/>
    <x v="1"/>
    <n v="25"/>
    <n v="13"/>
    <n v="325"/>
    <x v="1"/>
    <s v="Mr."/>
    <x v="1"/>
  </r>
  <r>
    <x v="581"/>
    <x v="79"/>
    <x v="0"/>
    <x v="0"/>
    <n v="20"/>
    <n v="13"/>
    <n v="260"/>
    <x v="1"/>
    <s v="Mr."/>
    <x v="3"/>
  </r>
  <r>
    <x v="582"/>
    <x v="265"/>
    <x v="4"/>
    <x v="0"/>
    <n v="50"/>
    <n v="8"/>
    <n v="400"/>
    <x v="1"/>
    <s v="Mr."/>
    <x v="0"/>
  </r>
  <r>
    <x v="583"/>
    <x v="159"/>
    <x v="6"/>
    <x v="1"/>
    <n v="40"/>
    <n v="15"/>
    <n v="600"/>
    <x v="1"/>
    <s v="Mr."/>
    <x v="3"/>
  </r>
  <r>
    <x v="584"/>
    <x v="183"/>
    <x v="1"/>
    <x v="0"/>
    <n v="20"/>
    <n v="11"/>
    <n v="220"/>
    <x v="1"/>
    <s v="Mrs."/>
    <x v="3"/>
  </r>
  <r>
    <x v="585"/>
    <x v="32"/>
    <x v="5"/>
    <x v="0"/>
    <n v="60"/>
    <n v="15"/>
    <n v="900"/>
    <x v="2"/>
    <s v="Mr."/>
    <x v="0"/>
  </r>
  <r>
    <x v="586"/>
    <x v="284"/>
    <x v="0"/>
    <x v="0"/>
    <n v="20"/>
    <n v="10"/>
    <n v="200"/>
    <x v="1"/>
    <s v="Mrs."/>
    <x v="0"/>
  </r>
  <r>
    <x v="587"/>
    <x v="209"/>
    <x v="4"/>
    <x v="0"/>
    <n v="50"/>
    <n v="11"/>
    <n v="550"/>
    <x v="1"/>
    <s v="Mrs."/>
    <x v="3"/>
  </r>
  <r>
    <x v="588"/>
    <x v="285"/>
    <x v="6"/>
    <x v="1"/>
    <n v="40"/>
    <n v="5"/>
    <n v="200"/>
    <x v="1"/>
    <s v="Mr."/>
    <x v="0"/>
  </r>
  <r>
    <x v="589"/>
    <x v="249"/>
    <x v="3"/>
    <x v="0"/>
    <n v="20"/>
    <n v="15"/>
    <n v="300"/>
    <x v="2"/>
    <s v="Mr."/>
    <x v="4"/>
  </r>
  <r>
    <x v="590"/>
    <x v="67"/>
    <x v="5"/>
    <x v="0"/>
    <n v="60"/>
    <n v="13"/>
    <n v="780"/>
    <x v="1"/>
    <s v="Mrs."/>
    <x v="3"/>
  </r>
  <r>
    <x v="591"/>
    <x v="159"/>
    <x v="2"/>
    <x v="1"/>
    <n v="25"/>
    <n v="7"/>
    <n v="175"/>
    <x v="1"/>
    <s v="Mr."/>
    <x v="3"/>
  </r>
  <r>
    <x v="592"/>
    <x v="216"/>
    <x v="2"/>
    <x v="1"/>
    <n v="25"/>
    <n v="9"/>
    <n v="225"/>
    <x v="1"/>
    <s v="Mrs."/>
    <x v="2"/>
  </r>
  <r>
    <x v="593"/>
    <x v="139"/>
    <x v="4"/>
    <x v="0"/>
    <n v="50"/>
    <n v="6"/>
    <n v="300"/>
    <x v="1"/>
    <s v="Mrs."/>
    <x v="3"/>
  </r>
  <r>
    <x v="594"/>
    <x v="286"/>
    <x v="4"/>
    <x v="0"/>
    <n v="50"/>
    <n v="9"/>
    <n v="450"/>
    <x v="2"/>
    <s v="Mr."/>
    <x v="1"/>
  </r>
  <r>
    <x v="595"/>
    <x v="146"/>
    <x v="6"/>
    <x v="1"/>
    <n v="40"/>
    <n v="1"/>
    <n v="40"/>
    <x v="2"/>
    <s v="Mrs."/>
    <x v="0"/>
  </r>
  <r>
    <x v="596"/>
    <x v="227"/>
    <x v="3"/>
    <x v="0"/>
    <n v="20"/>
    <n v="10"/>
    <n v="200"/>
    <x v="2"/>
    <s v="Mr."/>
    <x v="4"/>
  </r>
  <r>
    <x v="597"/>
    <x v="246"/>
    <x v="6"/>
    <x v="1"/>
    <n v="40"/>
    <n v="8"/>
    <n v="320"/>
    <x v="1"/>
    <s v="Mrs."/>
    <x v="1"/>
  </r>
  <r>
    <x v="598"/>
    <x v="130"/>
    <x v="4"/>
    <x v="0"/>
    <n v="50"/>
    <n v="13"/>
    <n v="650"/>
    <x v="1"/>
    <s v="Mr."/>
    <x v="3"/>
  </r>
  <r>
    <x v="599"/>
    <x v="81"/>
    <x v="3"/>
    <x v="0"/>
    <n v="20"/>
    <n v="6"/>
    <n v="120"/>
    <x v="1"/>
    <s v="Mrs."/>
    <x v="3"/>
  </r>
  <r>
    <x v="600"/>
    <x v="287"/>
    <x v="0"/>
    <x v="0"/>
    <n v="20"/>
    <n v="12"/>
    <n v="240"/>
    <x v="2"/>
    <s v="Mr."/>
    <x v="3"/>
  </r>
  <r>
    <x v="601"/>
    <x v="138"/>
    <x v="0"/>
    <x v="0"/>
    <n v="20"/>
    <n v="10"/>
    <n v="200"/>
    <x v="1"/>
    <s v="Mr."/>
    <x v="0"/>
  </r>
  <r>
    <x v="602"/>
    <x v="22"/>
    <x v="1"/>
    <x v="0"/>
    <n v="20"/>
    <n v="10"/>
    <n v="200"/>
    <x v="1"/>
    <s v="Mrs."/>
    <x v="1"/>
  </r>
  <r>
    <x v="603"/>
    <x v="260"/>
    <x v="4"/>
    <x v="0"/>
    <n v="50"/>
    <n v="10"/>
    <n v="500"/>
    <x v="1"/>
    <s v="Mrs."/>
    <x v="0"/>
  </r>
  <r>
    <x v="604"/>
    <x v="214"/>
    <x v="6"/>
    <x v="1"/>
    <n v="40"/>
    <n v="15"/>
    <n v="600"/>
    <x v="0"/>
    <s v="Mrs."/>
    <x v="1"/>
  </r>
  <r>
    <x v="605"/>
    <x v="284"/>
    <x v="6"/>
    <x v="1"/>
    <n v="40"/>
    <n v="6"/>
    <n v="240"/>
    <x v="1"/>
    <s v="Mrs."/>
    <x v="0"/>
  </r>
  <r>
    <x v="606"/>
    <x v="149"/>
    <x v="1"/>
    <x v="0"/>
    <n v="20"/>
    <n v="9"/>
    <n v="180"/>
    <x v="1"/>
    <s v="Mrs."/>
    <x v="1"/>
  </r>
  <r>
    <x v="607"/>
    <x v="288"/>
    <x v="0"/>
    <x v="0"/>
    <n v="20"/>
    <n v="1"/>
    <n v="20"/>
    <x v="2"/>
    <s v="Mr."/>
    <x v="4"/>
  </r>
  <r>
    <x v="608"/>
    <x v="90"/>
    <x v="0"/>
    <x v="0"/>
    <n v="20"/>
    <n v="14"/>
    <n v="280"/>
    <x v="0"/>
    <s v="Mr."/>
    <x v="4"/>
  </r>
  <r>
    <x v="609"/>
    <x v="83"/>
    <x v="4"/>
    <x v="0"/>
    <n v="50"/>
    <n v="13"/>
    <n v="650"/>
    <x v="2"/>
    <s v="Mrs."/>
    <x v="2"/>
  </r>
  <r>
    <x v="610"/>
    <x v="151"/>
    <x v="0"/>
    <x v="0"/>
    <n v="20"/>
    <n v="2"/>
    <n v="40"/>
    <x v="2"/>
    <s v="Mrs."/>
    <x v="3"/>
  </r>
  <r>
    <x v="611"/>
    <x v="198"/>
    <x v="0"/>
    <x v="0"/>
    <n v="20"/>
    <n v="3"/>
    <n v="60"/>
    <x v="2"/>
    <s v="Mr."/>
    <x v="4"/>
  </r>
  <r>
    <x v="612"/>
    <x v="8"/>
    <x v="1"/>
    <x v="0"/>
    <n v="20"/>
    <n v="5"/>
    <n v="100"/>
    <x v="2"/>
    <s v="Mrs."/>
    <x v="0"/>
  </r>
  <r>
    <x v="613"/>
    <x v="289"/>
    <x v="1"/>
    <x v="0"/>
    <n v="20"/>
    <n v="2"/>
    <n v="40"/>
    <x v="0"/>
    <s v="Mr."/>
    <x v="3"/>
  </r>
  <r>
    <x v="614"/>
    <x v="97"/>
    <x v="5"/>
    <x v="0"/>
    <n v="60"/>
    <n v="14"/>
    <n v="840"/>
    <x v="0"/>
    <s v="Mr."/>
    <x v="3"/>
  </r>
  <r>
    <x v="615"/>
    <x v="290"/>
    <x v="1"/>
    <x v="0"/>
    <n v="20"/>
    <n v="6"/>
    <n v="120"/>
    <x v="2"/>
    <s v="Mrs."/>
    <x v="4"/>
  </r>
  <r>
    <x v="616"/>
    <x v="191"/>
    <x v="2"/>
    <x v="1"/>
    <n v="25"/>
    <n v="2"/>
    <n v="50"/>
    <x v="1"/>
    <s v="Mr."/>
    <x v="0"/>
  </r>
  <r>
    <x v="617"/>
    <x v="105"/>
    <x v="4"/>
    <x v="0"/>
    <n v="50"/>
    <n v="1"/>
    <n v="50"/>
    <x v="2"/>
    <s v="Mr."/>
    <x v="2"/>
  </r>
  <r>
    <x v="618"/>
    <x v="254"/>
    <x v="2"/>
    <x v="1"/>
    <n v="25"/>
    <n v="4"/>
    <n v="100"/>
    <x v="1"/>
    <s v="Mrs."/>
    <x v="3"/>
  </r>
  <r>
    <x v="619"/>
    <x v="28"/>
    <x v="3"/>
    <x v="0"/>
    <n v="20"/>
    <n v="12"/>
    <n v="240"/>
    <x v="2"/>
    <s v="Mrs."/>
    <x v="2"/>
  </r>
  <r>
    <x v="620"/>
    <x v="136"/>
    <x v="0"/>
    <x v="0"/>
    <n v="20"/>
    <n v="2"/>
    <n v="40"/>
    <x v="2"/>
    <s v="Mrs."/>
    <x v="2"/>
  </r>
  <r>
    <x v="621"/>
    <x v="192"/>
    <x v="3"/>
    <x v="0"/>
    <n v="20"/>
    <n v="13"/>
    <n v="260"/>
    <x v="2"/>
    <s v="Mr."/>
    <x v="1"/>
  </r>
  <r>
    <x v="622"/>
    <x v="283"/>
    <x v="6"/>
    <x v="1"/>
    <n v="40"/>
    <n v="15"/>
    <n v="600"/>
    <x v="1"/>
    <s v="Mr."/>
    <x v="4"/>
  </r>
  <r>
    <x v="623"/>
    <x v="35"/>
    <x v="5"/>
    <x v="0"/>
    <n v="60"/>
    <n v="9"/>
    <n v="540"/>
    <x v="1"/>
    <s v="Mrs."/>
    <x v="3"/>
  </r>
  <r>
    <x v="624"/>
    <x v="291"/>
    <x v="5"/>
    <x v="0"/>
    <n v="60"/>
    <n v="15"/>
    <n v="900"/>
    <x v="2"/>
    <s v="Mr."/>
    <x v="3"/>
  </r>
  <r>
    <x v="625"/>
    <x v="153"/>
    <x v="6"/>
    <x v="1"/>
    <n v="40"/>
    <n v="15"/>
    <n v="600"/>
    <x v="1"/>
    <s v="Mr."/>
    <x v="0"/>
  </r>
  <r>
    <x v="626"/>
    <x v="292"/>
    <x v="2"/>
    <x v="1"/>
    <n v="25"/>
    <n v="15"/>
    <n v="375"/>
    <x v="2"/>
    <s v="Mr."/>
    <x v="1"/>
  </r>
  <r>
    <x v="627"/>
    <x v="293"/>
    <x v="6"/>
    <x v="1"/>
    <n v="40"/>
    <n v="10"/>
    <n v="400"/>
    <x v="0"/>
    <s v="Mrs."/>
    <x v="0"/>
  </r>
  <r>
    <x v="628"/>
    <x v="139"/>
    <x v="2"/>
    <x v="1"/>
    <n v="25"/>
    <n v="9"/>
    <n v="225"/>
    <x v="1"/>
    <s v="Mrs."/>
    <x v="2"/>
  </r>
  <r>
    <x v="629"/>
    <x v="250"/>
    <x v="4"/>
    <x v="0"/>
    <n v="50"/>
    <n v="7"/>
    <n v="350"/>
    <x v="0"/>
    <s v="Mrs."/>
    <x v="3"/>
  </r>
  <r>
    <x v="630"/>
    <x v="52"/>
    <x v="6"/>
    <x v="1"/>
    <n v="40"/>
    <n v="13"/>
    <n v="520"/>
    <x v="1"/>
    <s v="Mrs."/>
    <x v="2"/>
  </r>
  <r>
    <x v="631"/>
    <x v="122"/>
    <x v="3"/>
    <x v="0"/>
    <n v="20"/>
    <n v="9"/>
    <n v="180"/>
    <x v="2"/>
    <s v="Mrs."/>
    <x v="0"/>
  </r>
  <r>
    <x v="632"/>
    <x v="68"/>
    <x v="6"/>
    <x v="1"/>
    <n v="40"/>
    <n v="3"/>
    <n v="120"/>
    <x v="2"/>
    <s v="Mr."/>
    <x v="2"/>
  </r>
  <r>
    <x v="633"/>
    <x v="48"/>
    <x v="3"/>
    <x v="0"/>
    <n v="20"/>
    <n v="13"/>
    <n v="260"/>
    <x v="1"/>
    <s v="Mr."/>
    <x v="1"/>
  </r>
  <r>
    <x v="634"/>
    <x v="198"/>
    <x v="1"/>
    <x v="0"/>
    <n v="20"/>
    <n v="15"/>
    <n v="300"/>
    <x v="2"/>
    <s v="Mrs."/>
    <x v="0"/>
  </r>
  <r>
    <x v="635"/>
    <x v="146"/>
    <x v="6"/>
    <x v="1"/>
    <n v="40"/>
    <n v="12"/>
    <n v="480"/>
    <x v="0"/>
    <s v="Mr."/>
    <x v="3"/>
  </r>
  <r>
    <x v="636"/>
    <x v="36"/>
    <x v="0"/>
    <x v="0"/>
    <n v="20"/>
    <n v="7"/>
    <n v="140"/>
    <x v="1"/>
    <s v="Mr."/>
    <x v="4"/>
  </r>
  <r>
    <x v="637"/>
    <x v="294"/>
    <x v="6"/>
    <x v="1"/>
    <n v="40"/>
    <n v="11"/>
    <n v="440"/>
    <x v="2"/>
    <s v="Mrs."/>
    <x v="1"/>
  </r>
  <r>
    <x v="638"/>
    <x v="295"/>
    <x v="1"/>
    <x v="0"/>
    <n v="20"/>
    <n v="14"/>
    <n v="280"/>
    <x v="1"/>
    <s v="Mrs."/>
    <x v="3"/>
  </r>
  <r>
    <x v="639"/>
    <x v="187"/>
    <x v="5"/>
    <x v="0"/>
    <n v="60"/>
    <n v="15"/>
    <n v="900"/>
    <x v="2"/>
    <s v="Mr."/>
    <x v="0"/>
  </r>
  <r>
    <x v="640"/>
    <x v="296"/>
    <x v="1"/>
    <x v="0"/>
    <n v="20"/>
    <n v="15"/>
    <n v="300"/>
    <x v="1"/>
    <s v="Mr."/>
    <x v="1"/>
  </r>
  <r>
    <x v="641"/>
    <x v="38"/>
    <x v="6"/>
    <x v="1"/>
    <n v="40"/>
    <n v="10"/>
    <n v="400"/>
    <x v="2"/>
    <s v="Mrs."/>
    <x v="3"/>
  </r>
  <r>
    <x v="642"/>
    <x v="231"/>
    <x v="2"/>
    <x v="1"/>
    <n v="25"/>
    <n v="2"/>
    <n v="50"/>
    <x v="1"/>
    <s v="Mr."/>
    <x v="1"/>
  </r>
  <r>
    <x v="643"/>
    <x v="3"/>
    <x v="3"/>
    <x v="0"/>
    <n v="20"/>
    <n v="5"/>
    <n v="100"/>
    <x v="2"/>
    <s v="Mrs."/>
    <x v="2"/>
  </r>
  <r>
    <x v="644"/>
    <x v="48"/>
    <x v="5"/>
    <x v="0"/>
    <n v="60"/>
    <n v="9"/>
    <n v="540"/>
    <x v="1"/>
    <s v="Mrs."/>
    <x v="0"/>
  </r>
  <r>
    <x v="645"/>
    <x v="297"/>
    <x v="1"/>
    <x v="0"/>
    <n v="20"/>
    <n v="14"/>
    <n v="280"/>
    <x v="2"/>
    <s v="Mrs."/>
    <x v="1"/>
  </r>
  <r>
    <x v="646"/>
    <x v="275"/>
    <x v="1"/>
    <x v="0"/>
    <n v="20"/>
    <n v="3"/>
    <n v="60"/>
    <x v="1"/>
    <s v="Mr."/>
    <x v="1"/>
  </r>
  <r>
    <x v="647"/>
    <x v="250"/>
    <x v="5"/>
    <x v="0"/>
    <n v="60"/>
    <n v="7"/>
    <n v="420"/>
    <x v="1"/>
    <s v="Mr."/>
    <x v="0"/>
  </r>
  <r>
    <x v="648"/>
    <x v="15"/>
    <x v="4"/>
    <x v="0"/>
    <n v="50"/>
    <n v="9"/>
    <n v="450"/>
    <x v="1"/>
    <s v="Mr."/>
    <x v="4"/>
  </r>
  <r>
    <x v="649"/>
    <x v="298"/>
    <x v="5"/>
    <x v="0"/>
    <n v="60"/>
    <n v="13"/>
    <n v="780"/>
    <x v="2"/>
    <s v="Mrs."/>
    <x v="3"/>
  </r>
  <r>
    <x v="650"/>
    <x v="266"/>
    <x v="5"/>
    <x v="0"/>
    <n v="60"/>
    <n v="10"/>
    <n v="600"/>
    <x v="2"/>
    <s v="Mrs."/>
    <x v="4"/>
  </r>
  <r>
    <x v="651"/>
    <x v="248"/>
    <x v="6"/>
    <x v="1"/>
    <n v="40"/>
    <n v="13"/>
    <n v="520"/>
    <x v="2"/>
    <s v="Mrs."/>
    <x v="1"/>
  </r>
  <r>
    <x v="652"/>
    <x v="299"/>
    <x v="4"/>
    <x v="0"/>
    <n v="50"/>
    <n v="10"/>
    <n v="500"/>
    <x v="2"/>
    <s v="Mrs."/>
    <x v="4"/>
  </r>
  <r>
    <x v="653"/>
    <x v="237"/>
    <x v="1"/>
    <x v="0"/>
    <n v="20"/>
    <n v="9"/>
    <n v="180"/>
    <x v="1"/>
    <s v="Mrs."/>
    <x v="3"/>
  </r>
  <r>
    <x v="654"/>
    <x v="154"/>
    <x v="2"/>
    <x v="1"/>
    <n v="25"/>
    <n v="12"/>
    <n v="300"/>
    <x v="2"/>
    <s v="Mr."/>
    <x v="3"/>
  </r>
  <r>
    <x v="655"/>
    <x v="193"/>
    <x v="5"/>
    <x v="0"/>
    <n v="60"/>
    <n v="6"/>
    <n v="360"/>
    <x v="2"/>
    <s v="Mrs."/>
    <x v="4"/>
  </r>
  <r>
    <x v="656"/>
    <x v="61"/>
    <x v="6"/>
    <x v="1"/>
    <n v="40"/>
    <n v="7"/>
    <n v="280"/>
    <x v="0"/>
    <s v="Mr."/>
    <x v="4"/>
  </r>
  <r>
    <x v="657"/>
    <x v="300"/>
    <x v="0"/>
    <x v="0"/>
    <n v="20"/>
    <n v="12"/>
    <n v="240"/>
    <x v="0"/>
    <s v="Mrs."/>
    <x v="1"/>
  </r>
  <r>
    <x v="658"/>
    <x v="242"/>
    <x v="3"/>
    <x v="0"/>
    <n v="20"/>
    <n v="2"/>
    <n v="40"/>
    <x v="2"/>
    <s v="Mr."/>
    <x v="1"/>
  </r>
  <r>
    <x v="659"/>
    <x v="57"/>
    <x v="5"/>
    <x v="0"/>
    <n v="60"/>
    <n v="9"/>
    <n v="540"/>
    <x v="1"/>
    <s v="Mrs."/>
    <x v="0"/>
  </r>
  <r>
    <x v="660"/>
    <x v="144"/>
    <x v="4"/>
    <x v="0"/>
    <n v="50"/>
    <n v="7"/>
    <n v="350"/>
    <x v="2"/>
    <s v="Mrs."/>
    <x v="4"/>
  </r>
  <r>
    <x v="661"/>
    <x v="230"/>
    <x v="3"/>
    <x v="0"/>
    <n v="20"/>
    <n v="3"/>
    <n v="60"/>
    <x v="2"/>
    <s v="Mrs."/>
    <x v="1"/>
  </r>
  <r>
    <x v="662"/>
    <x v="30"/>
    <x v="2"/>
    <x v="1"/>
    <n v="25"/>
    <n v="1"/>
    <n v="25"/>
    <x v="2"/>
    <s v="Mr."/>
    <x v="0"/>
  </r>
  <r>
    <x v="663"/>
    <x v="236"/>
    <x v="4"/>
    <x v="0"/>
    <n v="50"/>
    <n v="10"/>
    <n v="500"/>
    <x v="2"/>
    <s v="Mrs."/>
    <x v="3"/>
  </r>
  <r>
    <x v="664"/>
    <x v="29"/>
    <x v="0"/>
    <x v="0"/>
    <n v="20"/>
    <n v="14"/>
    <n v="280"/>
    <x v="2"/>
    <s v="Mrs."/>
    <x v="2"/>
  </r>
  <r>
    <x v="665"/>
    <x v="88"/>
    <x v="3"/>
    <x v="0"/>
    <n v="20"/>
    <n v="9"/>
    <n v="180"/>
    <x v="1"/>
    <s v="Mr."/>
    <x v="2"/>
  </r>
  <r>
    <x v="666"/>
    <x v="252"/>
    <x v="1"/>
    <x v="0"/>
    <n v="20"/>
    <n v="3"/>
    <n v="60"/>
    <x v="1"/>
    <s v="Mrs."/>
    <x v="2"/>
  </r>
  <r>
    <x v="667"/>
    <x v="301"/>
    <x v="0"/>
    <x v="0"/>
    <n v="20"/>
    <n v="4"/>
    <n v="80"/>
    <x v="2"/>
    <s v="Mr."/>
    <x v="3"/>
  </r>
  <r>
    <x v="668"/>
    <x v="207"/>
    <x v="5"/>
    <x v="0"/>
    <n v="60"/>
    <n v="11"/>
    <n v="660"/>
    <x v="2"/>
    <s v="Mr."/>
    <x v="2"/>
  </r>
  <r>
    <x v="669"/>
    <x v="302"/>
    <x v="3"/>
    <x v="0"/>
    <n v="20"/>
    <n v="15"/>
    <n v="300"/>
    <x v="1"/>
    <s v="Mr."/>
    <x v="0"/>
  </r>
  <r>
    <x v="670"/>
    <x v="121"/>
    <x v="5"/>
    <x v="0"/>
    <n v="60"/>
    <n v="2"/>
    <n v="120"/>
    <x v="2"/>
    <s v="Mr."/>
    <x v="1"/>
  </r>
  <r>
    <x v="671"/>
    <x v="303"/>
    <x v="6"/>
    <x v="1"/>
    <n v="40"/>
    <n v="3"/>
    <n v="120"/>
    <x v="0"/>
    <s v="Mrs."/>
    <x v="2"/>
  </r>
  <r>
    <x v="672"/>
    <x v="304"/>
    <x v="5"/>
    <x v="0"/>
    <n v="60"/>
    <n v="12"/>
    <n v="720"/>
    <x v="1"/>
    <s v="Mr."/>
    <x v="4"/>
  </r>
  <r>
    <x v="673"/>
    <x v="70"/>
    <x v="2"/>
    <x v="1"/>
    <n v="25"/>
    <n v="13"/>
    <n v="325"/>
    <x v="0"/>
    <s v="Mr."/>
    <x v="3"/>
  </r>
  <r>
    <x v="674"/>
    <x v="175"/>
    <x v="5"/>
    <x v="0"/>
    <n v="60"/>
    <n v="12"/>
    <n v="720"/>
    <x v="1"/>
    <s v="Mr."/>
    <x v="0"/>
  </r>
  <r>
    <x v="675"/>
    <x v="273"/>
    <x v="4"/>
    <x v="0"/>
    <n v="50"/>
    <n v="7"/>
    <n v="350"/>
    <x v="1"/>
    <s v="Mrs."/>
    <x v="2"/>
  </r>
  <r>
    <x v="676"/>
    <x v="305"/>
    <x v="6"/>
    <x v="1"/>
    <n v="40"/>
    <n v="3"/>
    <n v="120"/>
    <x v="2"/>
    <s v="Mrs."/>
    <x v="3"/>
  </r>
  <r>
    <x v="677"/>
    <x v="306"/>
    <x v="0"/>
    <x v="0"/>
    <n v="20"/>
    <n v="3"/>
    <n v="60"/>
    <x v="2"/>
    <s v="Mr."/>
    <x v="2"/>
  </r>
  <r>
    <x v="678"/>
    <x v="45"/>
    <x v="5"/>
    <x v="0"/>
    <n v="60"/>
    <n v="12"/>
    <n v="720"/>
    <x v="2"/>
    <s v="Mr."/>
    <x v="3"/>
  </r>
  <r>
    <x v="679"/>
    <x v="307"/>
    <x v="6"/>
    <x v="1"/>
    <n v="40"/>
    <n v="4"/>
    <n v="160"/>
    <x v="1"/>
    <s v="Mr."/>
    <x v="0"/>
  </r>
  <r>
    <x v="680"/>
    <x v="56"/>
    <x v="4"/>
    <x v="0"/>
    <n v="50"/>
    <n v="9"/>
    <n v="450"/>
    <x v="2"/>
    <s v="Mrs."/>
    <x v="0"/>
  </r>
  <r>
    <x v="681"/>
    <x v="144"/>
    <x v="0"/>
    <x v="0"/>
    <n v="20"/>
    <n v="14"/>
    <n v="280"/>
    <x v="2"/>
    <s v="Mr."/>
    <x v="4"/>
  </r>
  <r>
    <x v="682"/>
    <x v="308"/>
    <x v="4"/>
    <x v="0"/>
    <n v="50"/>
    <n v="15"/>
    <n v="750"/>
    <x v="1"/>
    <s v="Mr."/>
    <x v="4"/>
  </r>
  <r>
    <x v="683"/>
    <x v="119"/>
    <x v="1"/>
    <x v="0"/>
    <n v="20"/>
    <n v="5"/>
    <n v="100"/>
    <x v="1"/>
    <s v="Mr."/>
    <x v="1"/>
  </r>
  <r>
    <x v="684"/>
    <x v="147"/>
    <x v="0"/>
    <x v="0"/>
    <n v="20"/>
    <n v="3"/>
    <n v="60"/>
    <x v="1"/>
    <s v="Mrs."/>
    <x v="1"/>
  </r>
  <r>
    <x v="685"/>
    <x v="12"/>
    <x v="6"/>
    <x v="1"/>
    <n v="40"/>
    <n v="5"/>
    <n v="200"/>
    <x v="1"/>
    <s v="Mr."/>
    <x v="1"/>
  </r>
  <r>
    <x v="686"/>
    <x v="309"/>
    <x v="1"/>
    <x v="0"/>
    <n v="20"/>
    <n v="10"/>
    <n v="200"/>
    <x v="1"/>
    <s v="Mrs."/>
    <x v="4"/>
  </r>
  <r>
    <x v="687"/>
    <x v="36"/>
    <x v="4"/>
    <x v="0"/>
    <n v="50"/>
    <n v="5"/>
    <n v="250"/>
    <x v="2"/>
    <s v="Mr."/>
    <x v="1"/>
  </r>
  <r>
    <x v="688"/>
    <x v="310"/>
    <x v="1"/>
    <x v="0"/>
    <n v="20"/>
    <n v="6"/>
    <n v="120"/>
    <x v="1"/>
    <s v="Mrs."/>
    <x v="1"/>
  </r>
  <r>
    <x v="689"/>
    <x v="241"/>
    <x v="1"/>
    <x v="0"/>
    <n v="20"/>
    <n v="9"/>
    <n v="180"/>
    <x v="1"/>
    <s v="Mrs."/>
    <x v="0"/>
  </r>
  <r>
    <x v="690"/>
    <x v="311"/>
    <x v="5"/>
    <x v="0"/>
    <n v="60"/>
    <n v="7"/>
    <n v="420"/>
    <x v="1"/>
    <s v="Mrs."/>
    <x v="2"/>
  </r>
  <r>
    <x v="691"/>
    <x v="142"/>
    <x v="4"/>
    <x v="0"/>
    <n v="50"/>
    <n v="14"/>
    <n v="700"/>
    <x v="2"/>
    <s v="Mr."/>
    <x v="1"/>
  </r>
  <r>
    <x v="692"/>
    <x v="169"/>
    <x v="2"/>
    <x v="1"/>
    <n v="25"/>
    <n v="13"/>
    <n v="325"/>
    <x v="2"/>
    <s v="Mrs."/>
    <x v="4"/>
  </r>
  <r>
    <x v="693"/>
    <x v="312"/>
    <x v="3"/>
    <x v="0"/>
    <n v="20"/>
    <n v="14"/>
    <n v="280"/>
    <x v="1"/>
    <s v="Mr."/>
    <x v="4"/>
  </r>
  <r>
    <x v="694"/>
    <x v="112"/>
    <x v="3"/>
    <x v="0"/>
    <n v="20"/>
    <n v="10"/>
    <n v="200"/>
    <x v="2"/>
    <s v="Mrs."/>
    <x v="4"/>
  </r>
  <r>
    <x v="695"/>
    <x v="43"/>
    <x v="2"/>
    <x v="1"/>
    <n v="25"/>
    <n v="3"/>
    <n v="75"/>
    <x v="2"/>
    <s v="Mrs."/>
    <x v="2"/>
  </r>
  <r>
    <x v="696"/>
    <x v="162"/>
    <x v="2"/>
    <x v="1"/>
    <n v="25"/>
    <n v="5"/>
    <n v="125"/>
    <x v="1"/>
    <s v="Mr."/>
    <x v="4"/>
  </r>
  <r>
    <x v="697"/>
    <x v="239"/>
    <x v="3"/>
    <x v="0"/>
    <n v="20"/>
    <n v="10"/>
    <n v="200"/>
    <x v="2"/>
    <s v="Mr."/>
    <x v="0"/>
  </r>
  <r>
    <x v="698"/>
    <x v="254"/>
    <x v="6"/>
    <x v="1"/>
    <n v="40"/>
    <n v="1"/>
    <n v="40"/>
    <x v="2"/>
    <s v="Mr."/>
    <x v="2"/>
  </r>
  <r>
    <x v="699"/>
    <x v="176"/>
    <x v="4"/>
    <x v="0"/>
    <n v="50"/>
    <n v="6"/>
    <n v="300"/>
    <x v="1"/>
    <s v="Mrs."/>
    <x v="2"/>
  </r>
  <r>
    <x v="700"/>
    <x v="199"/>
    <x v="2"/>
    <x v="1"/>
    <n v="25"/>
    <n v="14"/>
    <n v="350"/>
    <x v="2"/>
    <s v="Mrs."/>
    <x v="2"/>
  </r>
  <r>
    <x v="701"/>
    <x v="129"/>
    <x v="6"/>
    <x v="1"/>
    <n v="40"/>
    <n v="13"/>
    <n v="520"/>
    <x v="1"/>
    <s v="Mrs."/>
    <x v="1"/>
  </r>
  <r>
    <x v="702"/>
    <x v="287"/>
    <x v="3"/>
    <x v="0"/>
    <n v="20"/>
    <n v="10"/>
    <n v="200"/>
    <x v="2"/>
    <s v="Mrs."/>
    <x v="1"/>
  </r>
  <r>
    <x v="703"/>
    <x v="97"/>
    <x v="5"/>
    <x v="0"/>
    <n v="60"/>
    <n v="1"/>
    <n v="60"/>
    <x v="2"/>
    <s v="Mrs."/>
    <x v="2"/>
  </r>
  <r>
    <x v="704"/>
    <x v="313"/>
    <x v="5"/>
    <x v="0"/>
    <n v="60"/>
    <n v="6"/>
    <n v="360"/>
    <x v="2"/>
    <s v="Mr."/>
    <x v="2"/>
  </r>
  <r>
    <x v="705"/>
    <x v="30"/>
    <x v="4"/>
    <x v="0"/>
    <n v="50"/>
    <n v="8"/>
    <n v="400"/>
    <x v="2"/>
    <s v="Mr."/>
    <x v="0"/>
  </r>
  <r>
    <x v="706"/>
    <x v="314"/>
    <x v="3"/>
    <x v="0"/>
    <n v="20"/>
    <n v="2"/>
    <n v="40"/>
    <x v="2"/>
    <s v="Mr."/>
    <x v="0"/>
  </r>
  <r>
    <x v="707"/>
    <x v="143"/>
    <x v="5"/>
    <x v="0"/>
    <n v="60"/>
    <n v="5"/>
    <n v="300"/>
    <x v="1"/>
    <s v="Mrs."/>
    <x v="4"/>
  </r>
  <r>
    <x v="708"/>
    <x v="286"/>
    <x v="6"/>
    <x v="1"/>
    <n v="40"/>
    <n v="6"/>
    <n v="240"/>
    <x v="1"/>
    <s v="Mr."/>
    <x v="3"/>
  </r>
  <r>
    <x v="709"/>
    <x v="143"/>
    <x v="5"/>
    <x v="0"/>
    <n v="60"/>
    <n v="15"/>
    <n v="900"/>
    <x v="0"/>
    <s v="Mr."/>
    <x v="0"/>
  </r>
  <r>
    <x v="710"/>
    <x v="213"/>
    <x v="0"/>
    <x v="0"/>
    <n v="20"/>
    <n v="3"/>
    <n v="60"/>
    <x v="1"/>
    <s v="Mr."/>
    <x v="1"/>
  </r>
  <r>
    <x v="711"/>
    <x v="60"/>
    <x v="1"/>
    <x v="0"/>
    <n v="20"/>
    <n v="3"/>
    <n v="60"/>
    <x v="2"/>
    <s v="Mrs."/>
    <x v="4"/>
  </r>
  <r>
    <x v="712"/>
    <x v="315"/>
    <x v="2"/>
    <x v="1"/>
    <n v="25"/>
    <n v="14"/>
    <n v="350"/>
    <x v="2"/>
    <s v="Mrs."/>
    <x v="3"/>
  </r>
  <r>
    <x v="713"/>
    <x v="192"/>
    <x v="2"/>
    <x v="1"/>
    <n v="25"/>
    <n v="14"/>
    <n v="350"/>
    <x v="1"/>
    <s v="Mr."/>
    <x v="1"/>
  </r>
  <r>
    <x v="714"/>
    <x v="316"/>
    <x v="5"/>
    <x v="0"/>
    <n v="60"/>
    <n v="1"/>
    <n v="60"/>
    <x v="2"/>
    <s v="Mr."/>
    <x v="3"/>
  </r>
  <r>
    <x v="715"/>
    <x v="106"/>
    <x v="3"/>
    <x v="0"/>
    <n v="20"/>
    <n v="9"/>
    <n v="180"/>
    <x v="1"/>
    <s v="Mrs."/>
    <x v="4"/>
  </r>
  <r>
    <x v="716"/>
    <x v="144"/>
    <x v="2"/>
    <x v="1"/>
    <n v="25"/>
    <n v="15"/>
    <n v="375"/>
    <x v="0"/>
    <s v="Mrs."/>
    <x v="2"/>
  </r>
  <r>
    <x v="717"/>
    <x v="49"/>
    <x v="0"/>
    <x v="0"/>
    <n v="20"/>
    <n v="2"/>
    <n v="40"/>
    <x v="2"/>
    <s v="Mr."/>
    <x v="1"/>
  </r>
  <r>
    <x v="718"/>
    <x v="38"/>
    <x v="1"/>
    <x v="0"/>
    <n v="20"/>
    <n v="15"/>
    <n v="300"/>
    <x v="1"/>
    <s v="Mrs."/>
    <x v="4"/>
  </r>
  <r>
    <x v="719"/>
    <x v="317"/>
    <x v="4"/>
    <x v="0"/>
    <n v="50"/>
    <n v="14"/>
    <n v="700"/>
    <x v="1"/>
    <s v="Mrs."/>
    <x v="3"/>
  </r>
  <r>
    <x v="720"/>
    <x v="310"/>
    <x v="3"/>
    <x v="0"/>
    <n v="20"/>
    <n v="12"/>
    <n v="240"/>
    <x v="0"/>
    <s v="Mr."/>
    <x v="1"/>
  </r>
  <r>
    <x v="721"/>
    <x v="28"/>
    <x v="1"/>
    <x v="0"/>
    <n v="20"/>
    <n v="15"/>
    <n v="300"/>
    <x v="0"/>
    <s v="Mr."/>
    <x v="4"/>
  </r>
  <r>
    <x v="722"/>
    <x v="216"/>
    <x v="6"/>
    <x v="1"/>
    <n v="40"/>
    <n v="10"/>
    <n v="400"/>
    <x v="2"/>
    <s v="Mr."/>
    <x v="2"/>
  </r>
  <r>
    <x v="723"/>
    <x v="201"/>
    <x v="4"/>
    <x v="0"/>
    <n v="50"/>
    <n v="10"/>
    <n v="500"/>
    <x v="1"/>
    <s v="Mrs."/>
    <x v="0"/>
  </r>
  <r>
    <x v="724"/>
    <x v="274"/>
    <x v="1"/>
    <x v="0"/>
    <n v="20"/>
    <n v="6"/>
    <n v="120"/>
    <x v="2"/>
    <s v="Mrs."/>
    <x v="1"/>
  </r>
  <r>
    <x v="725"/>
    <x v="82"/>
    <x v="3"/>
    <x v="0"/>
    <n v="20"/>
    <n v="1"/>
    <n v="20"/>
    <x v="2"/>
    <s v="Mr."/>
    <x v="3"/>
  </r>
  <r>
    <x v="726"/>
    <x v="285"/>
    <x v="0"/>
    <x v="0"/>
    <n v="20"/>
    <n v="5"/>
    <n v="100"/>
    <x v="1"/>
    <s v="Mrs."/>
    <x v="4"/>
  </r>
  <r>
    <x v="727"/>
    <x v="318"/>
    <x v="1"/>
    <x v="0"/>
    <n v="20"/>
    <n v="1"/>
    <n v="20"/>
    <x v="2"/>
    <s v="Mr."/>
    <x v="4"/>
  </r>
  <r>
    <x v="728"/>
    <x v="303"/>
    <x v="5"/>
    <x v="0"/>
    <n v="60"/>
    <n v="7"/>
    <n v="420"/>
    <x v="1"/>
    <s v="Mr."/>
    <x v="0"/>
  </r>
  <r>
    <x v="729"/>
    <x v="191"/>
    <x v="4"/>
    <x v="0"/>
    <n v="50"/>
    <n v="13"/>
    <n v="650"/>
    <x v="1"/>
    <s v="Mrs."/>
    <x v="1"/>
  </r>
  <r>
    <x v="730"/>
    <x v="63"/>
    <x v="4"/>
    <x v="0"/>
    <n v="50"/>
    <n v="10"/>
    <n v="500"/>
    <x v="1"/>
    <s v="Mrs."/>
    <x v="1"/>
  </r>
  <r>
    <x v="731"/>
    <x v="281"/>
    <x v="3"/>
    <x v="0"/>
    <n v="20"/>
    <n v="7"/>
    <n v="140"/>
    <x v="0"/>
    <s v="Mrs."/>
    <x v="4"/>
  </r>
  <r>
    <x v="732"/>
    <x v="3"/>
    <x v="4"/>
    <x v="0"/>
    <n v="50"/>
    <n v="10"/>
    <n v="500"/>
    <x v="1"/>
    <s v="Mr."/>
    <x v="2"/>
  </r>
  <r>
    <x v="733"/>
    <x v="313"/>
    <x v="4"/>
    <x v="0"/>
    <n v="50"/>
    <n v="7"/>
    <n v="350"/>
    <x v="1"/>
    <s v="Mr."/>
    <x v="2"/>
  </r>
  <r>
    <x v="734"/>
    <x v="132"/>
    <x v="3"/>
    <x v="0"/>
    <n v="20"/>
    <n v="11"/>
    <n v="220"/>
    <x v="1"/>
    <s v="Mr."/>
    <x v="3"/>
  </r>
  <r>
    <x v="735"/>
    <x v="238"/>
    <x v="3"/>
    <x v="0"/>
    <n v="20"/>
    <n v="13"/>
    <n v="260"/>
    <x v="0"/>
    <s v="Mr."/>
    <x v="1"/>
  </r>
  <r>
    <x v="736"/>
    <x v="319"/>
    <x v="4"/>
    <x v="0"/>
    <n v="50"/>
    <n v="13"/>
    <n v="650"/>
    <x v="2"/>
    <s v="Mrs."/>
    <x v="0"/>
  </r>
  <r>
    <x v="737"/>
    <x v="255"/>
    <x v="5"/>
    <x v="0"/>
    <n v="60"/>
    <n v="4"/>
    <n v="240"/>
    <x v="2"/>
    <s v="Mrs."/>
    <x v="3"/>
  </r>
  <r>
    <x v="738"/>
    <x v="172"/>
    <x v="0"/>
    <x v="0"/>
    <n v="20"/>
    <n v="11"/>
    <n v="220"/>
    <x v="2"/>
    <s v="Mr."/>
    <x v="0"/>
  </r>
  <r>
    <x v="739"/>
    <x v="276"/>
    <x v="0"/>
    <x v="0"/>
    <n v="20"/>
    <n v="9"/>
    <n v="180"/>
    <x v="1"/>
    <s v="Mr."/>
    <x v="4"/>
  </r>
  <r>
    <x v="740"/>
    <x v="270"/>
    <x v="0"/>
    <x v="0"/>
    <n v="20"/>
    <n v="5"/>
    <n v="100"/>
    <x v="2"/>
    <s v="Mr."/>
    <x v="1"/>
  </r>
  <r>
    <x v="741"/>
    <x v="180"/>
    <x v="3"/>
    <x v="0"/>
    <n v="20"/>
    <n v="14"/>
    <n v="280"/>
    <x v="2"/>
    <s v="Mr."/>
    <x v="0"/>
  </r>
  <r>
    <x v="742"/>
    <x v="320"/>
    <x v="3"/>
    <x v="0"/>
    <n v="20"/>
    <n v="1"/>
    <n v="20"/>
    <x v="1"/>
    <s v="Mr."/>
    <x v="3"/>
  </r>
  <r>
    <x v="743"/>
    <x v="151"/>
    <x v="4"/>
    <x v="0"/>
    <n v="50"/>
    <n v="10"/>
    <n v="500"/>
    <x v="1"/>
    <s v="Mrs."/>
    <x v="3"/>
  </r>
  <r>
    <x v="744"/>
    <x v="82"/>
    <x v="0"/>
    <x v="0"/>
    <n v="20"/>
    <n v="2"/>
    <n v="40"/>
    <x v="2"/>
    <s v="Mr."/>
    <x v="2"/>
  </r>
  <r>
    <x v="745"/>
    <x v="243"/>
    <x v="2"/>
    <x v="1"/>
    <n v="25"/>
    <n v="5"/>
    <n v="125"/>
    <x v="2"/>
    <s v="Mrs."/>
    <x v="4"/>
  </r>
  <r>
    <x v="746"/>
    <x v="111"/>
    <x v="6"/>
    <x v="1"/>
    <n v="40"/>
    <n v="3"/>
    <n v="120"/>
    <x v="1"/>
    <s v="Mrs."/>
    <x v="4"/>
  </r>
  <r>
    <x v="747"/>
    <x v="319"/>
    <x v="5"/>
    <x v="0"/>
    <n v="60"/>
    <n v="14"/>
    <n v="840"/>
    <x v="1"/>
    <s v="Mrs."/>
    <x v="0"/>
  </r>
  <r>
    <x v="748"/>
    <x v="22"/>
    <x v="1"/>
    <x v="0"/>
    <n v="20"/>
    <n v="11"/>
    <n v="220"/>
    <x v="1"/>
    <s v="Mr."/>
    <x v="3"/>
  </r>
  <r>
    <x v="749"/>
    <x v="153"/>
    <x v="4"/>
    <x v="0"/>
    <n v="50"/>
    <n v="1"/>
    <n v="50"/>
    <x v="2"/>
    <s v="Mr."/>
    <x v="2"/>
  </r>
  <r>
    <x v="750"/>
    <x v="9"/>
    <x v="1"/>
    <x v="0"/>
    <n v="20"/>
    <n v="2"/>
    <n v="40"/>
    <x v="1"/>
    <s v="Mr."/>
    <x v="1"/>
  </r>
  <r>
    <x v="751"/>
    <x v="321"/>
    <x v="3"/>
    <x v="0"/>
    <n v="20"/>
    <n v="2"/>
    <n v="40"/>
    <x v="2"/>
    <s v="Mrs."/>
    <x v="3"/>
  </r>
  <r>
    <x v="752"/>
    <x v="170"/>
    <x v="2"/>
    <x v="1"/>
    <n v="25"/>
    <n v="1"/>
    <n v="25"/>
    <x v="1"/>
    <s v="Mr."/>
    <x v="4"/>
  </r>
  <r>
    <x v="753"/>
    <x v="208"/>
    <x v="2"/>
    <x v="1"/>
    <n v="25"/>
    <n v="14"/>
    <n v="350"/>
    <x v="1"/>
    <s v="Mrs."/>
    <x v="2"/>
  </r>
  <r>
    <x v="754"/>
    <x v="160"/>
    <x v="0"/>
    <x v="0"/>
    <n v="20"/>
    <n v="12"/>
    <n v="240"/>
    <x v="1"/>
    <s v="Mrs."/>
    <x v="0"/>
  </r>
  <r>
    <x v="755"/>
    <x v="247"/>
    <x v="2"/>
    <x v="1"/>
    <n v="25"/>
    <n v="10"/>
    <n v="250"/>
    <x v="2"/>
    <s v="Mrs."/>
    <x v="3"/>
  </r>
  <r>
    <x v="756"/>
    <x v="54"/>
    <x v="2"/>
    <x v="1"/>
    <n v="25"/>
    <n v="11"/>
    <n v="275"/>
    <x v="2"/>
    <s v="Mr."/>
    <x v="3"/>
  </r>
  <r>
    <x v="757"/>
    <x v="238"/>
    <x v="1"/>
    <x v="0"/>
    <n v="20"/>
    <n v="3"/>
    <n v="60"/>
    <x v="1"/>
    <s v="Mrs."/>
    <x v="2"/>
  </r>
  <r>
    <x v="758"/>
    <x v="54"/>
    <x v="2"/>
    <x v="1"/>
    <n v="25"/>
    <n v="13"/>
    <n v="325"/>
    <x v="2"/>
    <s v="Mr."/>
    <x v="4"/>
  </r>
  <r>
    <x v="759"/>
    <x v="5"/>
    <x v="2"/>
    <x v="1"/>
    <n v="25"/>
    <n v="1"/>
    <n v="25"/>
    <x v="2"/>
    <s v="Mrs."/>
    <x v="2"/>
  </r>
  <r>
    <x v="760"/>
    <x v="173"/>
    <x v="5"/>
    <x v="0"/>
    <n v="60"/>
    <n v="3"/>
    <n v="180"/>
    <x v="0"/>
    <s v="Mrs."/>
    <x v="4"/>
  </r>
  <r>
    <x v="761"/>
    <x v="284"/>
    <x v="1"/>
    <x v="0"/>
    <n v="20"/>
    <n v="12"/>
    <n v="240"/>
    <x v="2"/>
    <s v="Mrs."/>
    <x v="4"/>
  </r>
  <r>
    <x v="762"/>
    <x v="274"/>
    <x v="1"/>
    <x v="0"/>
    <n v="20"/>
    <n v="14"/>
    <n v="280"/>
    <x v="0"/>
    <s v="Mrs."/>
    <x v="0"/>
  </r>
  <r>
    <x v="763"/>
    <x v="263"/>
    <x v="5"/>
    <x v="0"/>
    <n v="60"/>
    <n v="7"/>
    <n v="420"/>
    <x v="1"/>
    <s v="Mrs."/>
    <x v="0"/>
  </r>
  <r>
    <x v="764"/>
    <x v="117"/>
    <x v="5"/>
    <x v="0"/>
    <n v="60"/>
    <n v="13"/>
    <n v="780"/>
    <x v="1"/>
    <s v="Mr."/>
    <x v="0"/>
  </r>
  <r>
    <x v="765"/>
    <x v="184"/>
    <x v="5"/>
    <x v="0"/>
    <n v="60"/>
    <n v="10"/>
    <n v="600"/>
    <x v="2"/>
    <s v="Mrs."/>
    <x v="3"/>
  </r>
  <r>
    <x v="766"/>
    <x v="115"/>
    <x v="4"/>
    <x v="0"/>
    <n v="50"/>
    <n v="8"/>
    <n v="400"/>
    <x v="1"/>
    <s v="Mrs."/>
    <x v="1"/>
  </r>
  <r>
    <x v="767"/>
    <x v="98"/>
    <x v="5"/>
    <x v="0"/>
    <n v="60"/>
    <n v="14"/>
    <n v="840"/>
    <x v="1"/>
    <s v="Mr."/>
    <x v="1"/>
  </r>
  <r>
    <x v="768"/>
    <x v="322"/>
    <x v="4"/>
    <x v="0"/>
    <n v="50"/>
    <n v="8"/>
    <n v="400"/>
    <x v="1"/>
    <s v="Mr."/>
    <x v="3"/>
  </r>
  <r>
    <x v="769"/>
    <x v="286"/>
    <x v="0"/>
    <x v="0"/>
    <n v="20"/>
    <n v="8"/>
    <n v="160"/>
    <x v="1"/>
    <s v="Mrs."/>
    <x v="3"/>
  </r>
  <r>
    <x v="770"/>
    <x v="40"/>
    <x v="3"/>
    <x v="0"/>
    <n v="20"/>
    <n v="5"/>
    <n v="100"/>
    <x v="2"/>
    <s v="Mrs."/>
    <x v="4"/>
  </r>
  <r>
    <x v="771"/>
    <x v="323"/>
    <x v="6"/>
    <x v="1"/>
    <n v="40"/>
    <n v="9"/>
    <n v="360"/>
    <x v="1"/>
    <s v="Mr."/>
    <x v="2"/>
  </r>
  <r>
    <x v="772"/>
    <x v="97"/>
    <x v="6"/>
    <x v="1"/>
    <n v="40"/>
    <n v="7"/>
    <n v="280"/>
    <x v="2"/>
    <s v="Mr."/>
    <x v="1"/>
  </r>
  <r>
    <x v="773"/>
    <x v="143"/>
    <x v="1"/>
    <x v="0"/>
    <n v="20"/>
    <n v="1"/>
    <n v="20"/>
    <x v="2"/>
    <s v="Mrs."/>
    <x v="0"/>
  </r>
  <r>
    <x v="774"/>
    <x v="249"/>
    <x v="5"/>
    <x v="0"/>
    <n v="60"/>
    <n v="6"/>
    <n v="360"/>
    <x v="1"/>
    <s v="Mr."/>
    <x v="0"/>
  </r>
  <r>
    <x v="775"/>
    <x v="90"/>
    <x v="4"/>
    <x v="0"/>
    <n v="50"/>
    <n v="10"/>
    <n v="500"/>
    <x v="1"/>
    <s v="Mr."/>
    <x v="4"/>
  </r>
  <r>
    <x v="776"/>
    <x v="324"/>
    <x v="3"/>
    <x v="0"/>
    <n v="20"/>
    <n v="13"/>
    <n v="260"/>
    <x v="1"/>
    <s v="Mr."/>
    <x v="3"/>
  </r>
  <r>
    <x v="777"/>
    <x v="53"/>
    <x v="4"/>
    <x v="0"/>
    <n v="50"/>
    <n v="13"/>
    <n v="650"/>
    <x v="1"/>
    <s v="Mr."/>
    <x v="2"/>
  </r>
  <r>
    <x v="778"/>
    <x v="195"/>
    <x v="5"/>
    <x v="0"/>
    <n v="60"/>
    <n v="13"/>
    <n v="780"/>
    <x v="0"/>
    <s v="Mr."/>
    <x v="0"/>
  </r>
  <r>
    <x v="779"/>
    <x v="325"/>
    <x v="2"/>
    <x v="1"/>
    <n v="25"/>
    <n v="13"/>
    <n v="325"/>
    <x v="2"/>
    <s v="Mrs."/>
    <x v="1"/>
  </r>
  <r>
    <x v="780"/>
    <x v="250"/>
    <x v="0"/>
    <x v="0"/>
    <n v="20"/>
    <n v="10"/>
    <n v="200"/>
    <x v="2"/>
    <s v="Mr."/>
    <x v="4"/>
  </r>
  <r>
    <x v="781"/>
    <x v="314"/>
    <x v="0"/>
    <x v="0"/>
    <n v="20"/>
    <n v="5"/>
    <n v="100"/>
    <x v="2"/>
    <s v="Mr."/>
    <x v="0"/>
  </r>
  <r>
    <x v="782"/>
    <x v="326"/>
    <x v="0"/>
    <x v="0"/>
    <n v="20"/>
    <n v="8"/>
    <n v="160"/>
    <x v="1"/>
    <s v="Mr."/>
    <x v="3"/>
  </r>
  <r>
    <x v="783"/>
    <x v="278"/>
    <x v="1"/>
    <x v="0"/>
    <n v="20"/>
    <n v="8"/>
    <n v="160"/>
    <x v="1"/>
    <s v="Mrs."/>
    <x v="3"/>
  </r>
  <r>
    <x v="784"/>
    <x v="327"/>
    <x v="0"/>
    <x v="0"/>
    <n v="20"/>
    <n v="2"/>
    <n v="40"/>
    <x v="2"/>
    <s v="Mr."/>
    <x v="1"/>
  </r>
  <r>
    <x v="785"/>
    <x v="85"/>
    <x v="5"/>
    <x v="0"/>
    <n v="60"/>
    <n v="14"/>
    <n v="840"/>
    <x v="2"/>
    <s v="Mrs."/>
    <x v="0"/>
  </r>
  <r>
    <x v="786"/>
    <x v="129"/>
    <x v="0"/>
    <x v="0"/>
    <n v="20"/>
    <n v="2"/>
    <n v="40"/>
    <x v="1"/>
    <s v="Mrs."/>
    <x v="1"/>
  </r>
  <r>
    <x v="787"/>
    <x v="310"/>
    <x v="2"/>
    <x v="1"/>
    <n v="25"/>
    <n v="7"/>
    <n v="175"/>
    <x v="2"/>
    <s v="Mr."/>
    <x v="1"/>
  </r>
  <r>
    <x v="788"/>
    <x v="318"/>
    <x v="2"/>
    <x v="1"/>
    <n v="25"/>
    <n v="7"/>
    <n v="175"/>
    <x v="1"/>
    <s v="Mr."/>
    <x v="3"/>
  </r>
  <r>
    <x v="789"/>
    <x v="328"/>
    <x v="3"/>
    <x v="0"/>
    <n v="20"/>
    <n v="3"/>
    <n v="60"/>
    <x v="1"/>
    <s v="Mrs."/>
    <x v="2"/>
  </r>
  <r>
    <x v="790"/>
    <x v="298"/>
    <x v="1"/>
    <x v="0"/>
    <n v="20"/>
    <n v="3"/>
    <n v="60"/>
    <x v="0"/>
    <s v="Mr."/>
    <x v="4"/>
  </r>
  <r>
    <x v="791"/>
    <x v="89"/>
    <x v="1"/>
    <x v="0"/>
    <n v="20"/>
    <n v="2"/>
    <n v="40"/>
    <x v="1"/>
    <s v="Mrs."/>
    <x v="3"/>
  </r>
  <r>
    <x v="792"/>
    <x v="297"/>
    <x v="5"/>
    <x v="0"/>
    <n v="60"/>
    <n v="6"/>
    <n v="360"/>
    <x v="1"/>
    <s v="Mrs."/>
    <x v="0"/>
  </r>
  <r>
    <x v="793"/>
    <x v="4"/>
    <x v="2"/>
    <x v="1"/>
    <n v="25"/>
    <n v="5"/>
    <n v="125"/>
    <x v="2"/>
    <s v="Mr."/>
    <x v="1"/>
  </r>
  <r>
    <x v="794"/>
    <x v="61"/>
    <x v="1"/>
    <x v="0"/>
    <n v="20"/>
    <n v="9"/>
    <n v="180"/>
    <x v="1"/>
    <s v="Mr."/>
    <x v="2"/>
  </r>
  <r>
    <x v="795"/>
    <x v="151"/>
    <x v="2"/>
    <x v="1"/>
    <n v="25"/>
    <n v="14"/>
    <n v="350"/>
    <x v="2"/>
    <s v="Mr."/>
    <x v="0"/>
  </r>
  <r>
    <x v="796"/>
    <x v="239"/>
    <x v="6"/>
    <x v="1"/>
    <n v="40"/>
    <n v="11"/>
    <n v="440"/>
    <x v="1"/>
    <s v="Mr."/>
    <x v="0"/>
  </r>
  <r>
    <x v="797"/>
    <x v="32"/>
    <x v="4"/>
    <x v="0"/>
    <n v="50"/>
    <n v="12"/>
    <n v="600"/>
    <x v="0"/>
    <s v="Mr."/>
    <x v="0"/>
  </r>
  <r>
    <x v="798"/>
    <x v="182"/>
    <x v="3"/>
    <x v="0"/>
    <n v="20"/>
    <n v="1"/>
    <n v="20"/>
    <x v="2"/>
    <s v="Mrs."/>
    <x v="0"/>
  </r>
  <r>
    <x v="799"/>
    <x v="44"/>
    <x v="6"/>
    <x v="1"/>
    <n v="40"/>
    <n v="14"/>
    <n v="560"/>
    <x v="1"/>
    <s v="Mr."/>
    <x v="0"/>
  </r>
  <r>
    <x v="800"/>
    <x v="329"/>
    <x v="0"/>
    <x v="0"/>
    <n v="20"/>
    <n v="7"/>
    <n v="140"/>
    <x v="1"/>
    <s v="Mrs."/>
    <x v="2"/>
  </r>
  <r>
    <x v="801"/>
    <x v="330"/>
    <x v="5"/>
    <x v="0"/>
    <n v="60"/>
    <n v="7"/>
    <n v="420"/>
    <x v="2"/>
    <s v="Mrs."/>
    <x v="1"/>
  </r>
  <r>
    <x v="802"/>
    <x v="138"/>
    <x v="1"/>
    <x v="0"/>
    <n v="20"/>
    <n v="5"/>
    <n v="100"/>
    <x v="0"/>
    <s v="Mr."/>
    <x v="0"/>
  </r>
  <r>
    <x v="803"/>
    <x v="144"/>
    <x v="6"/>
    <x v="1"/>
    <n v="40"/>
    <n v="12"/>
    <n v="480"/>
    <x v="2"/>
    <s v="Mrs."/>
    <x v="0"/>
  </r>
  <r>
    <x v="804"/>
    <x v="83"/>
    <x v="2"/>
    <x v="1"/>
    <n v="25"/>
    <n v="1"/>
    <n v="25"/>
    <x v="2"/>
    <s v="Mr."/>
    <x v="1"/>
  </r>
  <r>
    <x v="805"/>
    <x v="306"/>
    <x v="1"/>
    <x v="0"/>
    <n v="20"/>
    <n v="3"/>
    <n v="60"/>
    <x v="2"/>
    <s v="Mr."/>
    <x v="2"/>
  </r>
  <r>
    <x v="806"/>
    <x v="281"/>
    <x v="4"/>
    <x v="0"/>
    <n v="50"/>
    <n v="1"/>
    <n v="50"/>
    <x v="2"/>
    <s v="Mrs."/>
    <x v="4"/>
  </r>
  <r>
    <x v="807"/>
    <x v="155"/>
    <x v="3"/>
    <x v="0"/>
    <n v="20"/>
    <n v="1"/>
    <n v="20"/>
    <x v="2"/>
    <s v="Mr."/>
    <x v="3"/>
  </r>
  <r>
    <x v="808"/>
    <x v="96"/>
    <x v="3"/>
    <x v="0"/>
    <n v="20"/>
    <n v="10"/>
    <n v="200"/>
    <x v="2"/>
    <s v="Mr."/>
    <x v="2"/>
  </r>
  <r>
    <x v="809"/>
    <x v="261"/>
    <x v="1"/>
    <x v="0"/>
    <n v="20"/>
    <n v="3"/>
    <n v="60"/>
    <x v="2"/>
    <s v="Mr."/>
    <x v="3"/>
  </r>
  <r>
    <x v="810"/>
    <x v="137"/>
    <x v="0"/>
    <x v="0"/>
    <n v="20"/>
    <n v="13"/>
    <n v="260"/>
    <x v="1"/>
    <s v="Mr."/>
    <x v="1"/>
  </r>
  <r>
    <x v="811"/>
    <x v="92"/>
    <x v="3"/>
    <x v="0"/>
    <n v="20"/>
    <n v="5"/>
    <n v="100"/>
    <x v="1"/>
    <s v="Mr."/>
    <x v="1"/>
  </r>
  <r>
    <x v="812"/>
    <x v="240"/>
    <x v="3"/>
    <x v="0"/>
    <n v="20"/>
    <n v="10"/>
    <n v="200"/>
    <x v="2"/>
    <s v="Mr."/>
    <x v="1"/>
  </r>
  <r>
    <x v="813"/>
    <x v="241"/>
    <x v="1"/>
    <x v="0"/>
    <n v="20"/>
    <n v="13"/>
    <n v="260"/>
    <x v="1"/>
    <s v="Mrs."/>
    <x v="4"/>
  </r>
  <r>
    <x v="814"/>
    <x v="307"/>
    <x v="6"/>
    <x v="1"/>
    <n v="40"/>
    <n v="12"/>
    <n v="480"/>
    <x v="2"/>
    <s v="Mrs."/>
    <x v="1"/>
  </r>
  <r>
    <x v="815"/>
    <x v="182"/>
    <x v="2"/>
    <x v="1"/>
    <n v="25"/>
    <n v="11"/>
    <n v="275"/>
    <x v="1"/>
    <s v="Mr."/>
    <x v="3"/>
  </r>
  <r>
    <x v="816"/>
    <x v="248"/>
    <x v="0"/>
    <x v="0"/>
    <n v="20"/>
    <n v="12"/>
    <n v="240"/>
    <x v="1"/>
    <s v="Mrs."/>
    <x v="2"/>
  </r>
  <r>
    <x v="817"/>
    <x v="288"/>
    <x v="4"/>
    <x v="0"/>
    <n v="50"/>
    <n v="6"/>
    <n v="300"/>
    <x v="1"/>
    <s v="Mr."/>
    <x v="0"/>
  </r>
  <r>
    <x v="818"/>
    <x v="24"/>
    <x v="1"/>
    <x v="0"/>
    <n v="20"/>
    <n v="10"/>
    <n v="200"/>
    <x v="1"/>
    <s v="Mr."/>
    <x v="2"/>
  </r>
  <r>
    <x v="819"/>
    <x v="95"/>
    <x v="0"/>
    <x v="0"/>
    <n v="20"/>
    <n v="3"/>
    <n v="60"/>
    <x v="0"/>
    <s v="Mr."/>
    <x v="4"/>
  </r>
  <r>
    <x v="820"/>
    <x v="229"/>
    <x v="0"/>
    <x v="0"/>
    <n v="20"/>
    <n v="12"/>
    <n v="240"/>
    <x v="1"/>
    <s v="Mrs."/>
    <x v="4"/>
  </r>
  <r>
    <x v="821"/>
    <x v="291"/>
    <x v="3"/>
    <x v="0"/>
    <n v="20"/>
    <n v="12"/>
    <n v="240"/>
    <x v="2"/>
    <s v="Mr."/>
    <x v="3"/>
  </r>
  <r>
    <x v="822"/>
    <x v="136"/>
    <x v="3"/>
    <x v="0"/>
    <n v="20"/>
    <n v="11"/>
    <n v="220"/>
    <x v="2"/>
    <s v="Mr."/>
    <x v="4"/>
  </r>
  <r>
    <x v="823"/>
    <x v="219"/>
    <x v="1"/>
    <x v="0"/>
    <n v="20"/>
    <n v="2"/>
    <n v="40"/>
    <x v="2"/>
    <s v="Mrs."/>
    <x v="2"/>
  </r>
  <r>
    <x v="824"/>
    <x v="213"/>
    <x v="3"/>
    <x v="0"/>
    <n v="20"/>
    <n v="14"/>
    <n v="280"/>
    <x v="1"/>
    <s v="Mrs."/>
    <x v="3"/>
  </r>
  <r>
    <x v="825"/>
    <x v="315"/>
    <x v="5"/>
    <x v="0"/>
    <n v="60"/>
    <n v="15"/>
    <n v="900"/>
    <x v="1"/>
    <s v="Mrs."/>
    <x v="0"/>
  </r>
  <r>
    <x v="826"/>
    <x v="25"/>
    <x v="5"/>
    <x v="0"/>
    <n v="60"/>
    <n v="12"/>
    <n v="720"/>
    <x v="1"/>
    <s v="Mr."/>
    <x v="4"/>
  </r>
  <r>
    <x v="827"/>
    <x v="23"/>
    <x v="3"/>
    <x v="0"/>
    <n v="20"/>
    <n v="6"/>
    <n v="120"/>
    <x v="1"/>
    <s v="Mr."/>
    <x v="2"/>
  </r>
  <r>
    <x v="828"/>
    <x v="222"/>
    <x v="6"/>
    <x v="1"/>
    <n v="40"/>
    <n v="6"/>
    <n v="240"/>
    <x v="1"/>
    <s v="Mr."/>
    <x v="0"/>
  </r>
  <r>
    <x v="829"/>
    <x v="193"/>
    <x v="6"/>
    <x v="1"/>
    <n v="40"/>
    <n v="9"/>
    <n v="360"/>
    <x v="0"/>
    <s v="Mr."/>
    <x v="0"/>
  </r>
  <r>
    <x v="830"/>
    <x v="331"/>
    <x v="4"/>
    <x v="0"/>
    <n v="50"/>
    <n v="5"/>
    <n v="250"/>
    <x v="2"/>
    <s v="Mrs."/>
    <x v="3"/>
  </r>
  <r>
    <x v="831"/>
    <x v="172"/>
    <x v="2"/>
    <x v="1"/>
    <n v="25"/>
    <n v="4"/>
    <n v="100"/>
    <x v="1"/>
    <s v="Mr."/>
    <x v="3"/>
  </r>
  <r>
    <x v="832"/>
    <x v="114"/>
    <x v="3"/>
    <x v="0"/>
    <n v="20"/>
    <n v="2"/>
    <n v="40"/>
    <x v="2"/>
    <s v="Mrs."/>
    <x v="2"/>
  </r>
  <r>
    <x v="833"/>
    <x v="224"/>
    <x v="2"/>
    <x v="1"/>
    <n v="25"/>
    <n v="14"/>
    <n v="350"/>
    <x v="1"/>
    <s v="Mr."/>
    <x v="2"/>
  </r>
  <r>
    <x v="834"/>
    <x v="282"/>
    <x v="2"/>
    <x v="1"/>
    <n v="25"/>
    <n v="7"/>
    <n v="175"/>
    <x v="2"/>
    <s v="Mr."/>
    <x v="1"/>
  </r>
  <r>
    <x v="835"/>
    <x v="22"/>
    <x v="1"/>
    <x v="0"/>
    <n v="20"/>
    <n v="2"/>
    <n v="40"/>
    <x v="1"/>
    <s v="Mrs."/>
    <x v="4"/>
  </r>
  <r>
    <x v="836"/>
    <x v="305"/>
    <x v="0"/>
    <x v="0"/>
    <n v="20"/>
    <n v="7"/>
    <n v="140"/>
    <x v="1"/>
    <s v="Mr."/>
    <x v="4"/>
  </r>
  <r>
    <x v="837"/>
    <x v="168"/>
    <x v="6"/>
    <x v="1"/>
    <n v="40"/>
    <n v="9"/>
    <n v="360"/>
    <x v="2"/>
    <s v="Mrs."/>
    <x v="3"/>
  </r>
  <r>
    <x v="838"/>
    <x v="83"/>
    <x v="2"/>
    <x v="1"/>
    <n v="25"/>
    <n v="4"/>
    <n v="100"/>
    <x v="1"/>
    <s v="Mrs."/>
    <x v="1"/>
  </r>
  <r>
    <x v="839"/>
    <x v="332"/>
    <x v="6"/>
    <x v="1"/>
    <n v="40"/>
    <n v="15"/>
    <n v="600"/>
    <x v="0"/>
    <s v="Mrs."/>
    <x v="4"/>
  </r>
  <r>
    <x v="840"/>
    <x v="3"/>
    <x v="1"/>
    <x v="0"/>
    <n v="20"/>
    <n v="9"/>
    <n v="180"/>
    <x v="1"/>
    <s v="Mr."/>
    <x v="0"/>
  </r>
  <r>
    <x v="841"/>
    <x v="224"/>
    <x v="3"/>
    <x v="0"/>
    <n v="20"/>
    <n v="2"/>
    <n v="40"/>
    <x v="1"/>
    <s v="Mrs."/>
    <x v="2"/>
  </r>
  <r>
    <x v="842"/>
    <x v="274"/>
    <x v="2"/>
    <x v="1"/>
    <n v="25"/>
    <n v="1"/>
    <n v="25"/>
    <x v="1"/>
    <s v="Mrs."/>
    <x v="3"/>
  </r>
  <r>
    <x v="843"/>
    <x v="273"/>
    <x v="2"/>
    <x v="1"/>
    <n v="25"/>
    <n v="13"/>
    <n v="325"/>
    <x v="1"/>
    <s v="Mr."/>
    <x v="3"/>
  </r>
  <r>
    <x v="844"/>
    <x v="52"/>
    <x v="6"/>
    <x v="1"/>
    <n v="40"/>
    <n v="6"/>
    <n v="240"/>
    <x v="2"/>
    <s v="Mrs."/>
    <x v="2"/>
  </r>
  <r>
    <x v="845"/>
    <x v="307"/>
    <x v="0"/>
    <x v="0"/>
    <n v="20"/>
    <n v="5"/>
    <n v="100"/>
    <x v="2"/>
    <s v="Mr."/>
    <x v="1"/>
  </r>
  <r>
    <x v="846"/>
    <x v="97"/>
    <x v="3"/>
    <x v="0"/>
    <n v="20"/>
    <n v="11"/>
    <n v="220"/>
    <x v="2"/>
    <s v="Mr."/>
    <x v="4"/>
  </r>
  <r>
    <x v="847"/>
    <x v="333"/>
    <x v="4"/>
    <x v="0"/>
    <n v="50"/>
    <n v="9"/>
    <n v="450"/>
    <x v="1"/>
    <s v="Mr."/>
    <x v="0"/>
  </r>
  <r>
    <x v="848"/>
    <x v="271"/>
    <x v="6"/>
    <x v="1"/>
    <n v="40"/>
    <n v="10"/>
    <n v="400"/>
    <x v="1"/>
    <s v="Mrs."/>
    <x v="0"/>
  </r>
  <r>
    <x v="849"/>
    <x v="294"/>
    <x v="1"/>
    <x v="0"/>
    <n v="20"/>
    <n v="3"/>
    <n v="60"/>
    <x v="2"/>
    <s v="Mrs."/>
    <x v="1"/>
  </r>
  <r>
    <x v="850"/>
    <x v="27"/>
    <x v="0"/>
    <x v="0"/>
    <n v="20"/>
    <n v="15"/>
    <n v="300"/>
    <x v="2"/>
    <s v="Mrs."/>
    <x v="0"/>
  </r>
  <r>
    <x v="851"/>
    <x v="162"/>
    <x v="2"/>
    <x v="1"/>
    <n v="25"/>
    <n v="8"/>
    <n v="200"/>
    <x v="2"/>
    <s v="Mr."/>
    <x v="0"/>
  </r>
  <r>
    <x v="852"/>
    <x v="212"/>
    <x v="6"/>
    <x v="1"/>
    <n v="40"/>
    <n v="3"/>
    <n v="120"/>
    <x v="2"/>
    <s v="Mrs."/>
    <x v="4"/>
  </r>
  <r>
    <x v="853"/>
    <x v="103"/>
    <x v="6"/>
    <x v="1"/>
    <n v="40"/>
    <n v="14"/>
    <n v="560"/>
    <x v="2"/>
    <s v="Mrs."/>
    <x v="0"/>
  </r>
  <r>
    <x v="854"/>
    <x v="324"/>
    <x v="1"/>
    <x v="0"/>
    <n v="20"/>
    <n v="5"/>
    <n v="100"/>
    <x v="2"/>
    <s v="Mr."/>
    <x v="2"/>
  </r>
  <r>
    <x v="855"/>
    <x v="273"/>
    <x v="0"/>
    <x v="0"/>
    <n v="20"/>
    <n v="11"/>
    <n v="220"/>
    <x v="1"/>
    <s v="Mrs."/>
    <x v="0"/>
  </r>
  <r>
    <x v="856"/>
    <x v="152"/>
    <x v="2"/>
    <x v="1"/>
    <n v="25"/>
    <n v="14"/>
    <n v="350"/>
    <x v="2"/>
    <s v="Mrs."/>
    <x v="2"/>
  </r>
  <r>
    <x v="857"/>
    <x v="174"/>
    <x v="6"/>
    <x v="1"/>
    <n v="40"/>
    <n v="9"/>
    <n v="360"/>
    <x v="1"/>
    <s v="Mr."/>
    <x v="2"/>
  </r>
  <r>
    <x v="858"/>
    <x v="244"/>
    <x v="5"/>
    <x v="0"/>
    <n v="60"/>
    <n v="11"/>
    <n v="660"/>
    <x v="1"/>
    <s v="Mrs."/>
    <x v="4"/>
  </r>
  <r>
    <x v="859"/>
    <x v="270"/>
    <x v="6"/>
    <x v="1"/>
    <n v="40"/>
    <n v="5"/>
    <n v="200"/>
    <x v="1"/>
    <s v="Mr."/>
    <x v="0"/>
  </r>
  <r>
    <x v="860"/>
    <x v="334"/>
    <x v="2"/>
    <x v="1"/>
    <n v="25"/>
    <n v="8"/>
    <n v="200"/>
    <x v="1"/>
    <s v="Mrs."/>
    <x v="0"/>
  </r>
  <r>
    <x v="861"/>
    <x v="206"/>
    <x v="4"/>
    <x v="0"/>
    <n v="50"/>
    <n v="7"/>
    <n v="350"/>
    <x v="2"/>
    <s v="Mr."/>
    <x v="0"/>
  </r>
  <r>
    <x v="862"/>
    <x v="260"/>
    <x v="4"/>
    <x v="0"/>
    <n v="50"/>
    <n v="9"/>
    <n v="450"/>
    <x v="2"/>
    <s v="Mr."/>
    <x v="0"/>
  </r>
  <r>
    <x v="863"/>
    <x v="294"/>
    <x v="6"/>
    <x v="1"/>
    <n v="40"/>
    <n v="9"/>
    <n v="360"/>
    <x v="2"/>
    <s v="Mr."/>
    <x v="3"/>
  </r>
  <r>
    <x v="864"/>
    <x v="330"/>
    <x v="2"/>
    <x v="1"/>
    <n v="25"/>
    <n v="6"/>
    <n v="150"/>
    <x v="1"/>
    <s v="Mrs."/>
    <x v="0"/>
  </r>
  <r>
    <x v="865"/>
    <x v="310"/>
    <x v="4"/>
    <x v="0"/>
    <n v="50"/>
    <n v="10"/>
    <n v="500"/>
    <x v="2"/>
    <s v="Mr."/>
    <x v="4"/>
  </r>
  <r>
    <x v="866"/>
    <x v="295"/>
    <x v="4"/>
    <x v="0"/>
    <n v="50"/>
    <n v="15"/>
    <n v="750"/>
    <x v="1"/>
    <s v="Mr."/>
    <x v="4"/>
  </r>
  <r>
    <x v="867"/>
    <x v="66"/>
    <x v="0"/>
    <x v="0"/>
    <n v="20"/>
    <n v="13"/>
    <n v="260"/>
    <x v="1"/>
    <s v="Mrs."/>
    <x v="2"/>
  </r>
  <r>
    <x v="868"/>
    <x v="170"/>
    <x v="3"/>
    <x v="0"/>
    <n v="20"/>
    <n v="9"/>
    <n v="180"/>
    <x v="2"/>
    <s v="Mr."/>
    <x v="4"/>
  </r>
  <r>
    <x v="869"/>
    <x v="236"/>
    <x v="6"/>
    <x v="1"/>
    <n v="40"/>
    <n v="5"/>
    <n v="200"/>
    <x v="2"/>
    <s v="Mrs."/>
    <x v="1"/>
  </r>
  <r>
    <x v="870"/>
    <x v="327"/>
    <x v="1"/>
    <x v="0"/>
    <n v="20"/>
    <n v="14"/>
    <n v="280"/>
    <x v="0"/>
    <s v="Mrs."/>
    <x v="2"/>
  </r>
  <r>
    <x v="871"/>
    <x v="335"/>
    <x v="5"/>
    <x v="0"/>
    <n v="60"/>
    <n v="12"/>
    <n v="720"/>
    <x v="1"/>
    <s v="Mr."/>
    <x v="1"/>
  </r>
  <r>
    <x v="872"/>
    <x v="38"/>
    <x v="2"/>
    <x v="1"/>
    <n v="25"/>
    <n v="1"/>
    <n v="25"/>
    <x v="2"/>
    <s v="Mr."/>
    <x v="0"/>
  </r>
  <r>
    <x v="873"/>
    <x v="38"/>
    <x v="6"/>
    <x v="1"/>
    <n v="40"/>
    <n v="4"/>
    <n v="160"/>
    <x v="1"/>
    <s v="Mr."/>
    <x v="4"/>
  </r>
  <r>
    <x v="874"/>
    <x v="243"/>
    <x v="1"/>
    <x v="0"/>
    <n v="20"/>
    <n v="15"/>
    <n v="300"/>
    <x v="1"/>
    <s v="Mr."/>
    <x v="2"/>
  </r>
  <r>
    <x v="875"/>
    <x v="8"/>
    <x v="6"/>
    <x v="1"/>
    <n v="40"/>
    <n v="8"/>
    <n v="320"/>
    <x v="2"/>
    <s v="Mrs."/>
    <x v="2"/>
  </r>
  <r>
    <x v="876"/>
    <x v="87"/>
    <x v="2"/>
    <x v="1"/>
    <n v="25"/>
    <n v="14"/>
    <n v="350"/>
    <x v="1"/>
    <s v="Mrs."/>
    <x v="1"/>
  </r>
  <r>
    <x v="877"/>
    <x v="308"/>
    <x v="5"/>
    <x v="0"/>
    <n v="60"/>
    <n v="6"/>
    <n v="360"/>
    <x v="2"/>
    <s v="Mr."/>
    <x v="2"/>
  </r>
  <r>
    <x v="878"/>
    <x v="44"/>
    <x v="6"/>
    <x v="1"/>
    <n v="40"/>
    <n v="9"/>
    <n v="360"/>
    <x v="1"/>
    <s v="Mrs."/>
    <x v="2"/>
  </r>
  <r>
    <x v="879"/>
    <x v="151"/>
    <x v="2"/>
    <x v="1"/>
    <n v="25"/>
    <n v="5"/>
    <n v="125"/>
    <x v="1"/>
    <s v="Mrs."/>
    <x v="3"/>
  </r>
  <r>
    <x v="880"/>
    <x v="224"/>
    <x v="5"/>
    <x v="0"/>
    <n v="60"/>
    <n v="2"/>
    <n v="120"/>
    <x v="1"/>
    <s v="Mr."/>
    <x v="4"/>
  </r>
  <r>
    <x v="881"/>
    <x v="150"/>
    <x v="3"/>
    <x v="0"/>
    <n v="20"/>
    <n v="9"/>
    <n v="180"/>
    <x v="2"/>
    <s v="Mr."/>
    <x v="3"/>
  </r>
  <r>
    <x v="882"/>
    <x v="112"/>
    <x v="0"/>
    <x v="0"/>
    <n v="20"/>
    <n v="5"/>
    <n v="100"/>
    <x v="2"/>
    <s v="Mrs."/>
    <x v="4"/>
  </r>
  <r>
    <x v="883"/>
    <x v="255"/>
    <x v="1"/>
    <x v="0"/>
    <n v="20"/>
    <n v="12"/>
    <n v="240"/>
    <x v="2"/>
    <s v="Mr."/>
    <x v="0"/>
  </r>
  <r>
    <x v="884"/>
    <x v="14"/>
    <x v="2"/>
    <x v="1"/>
    <n v="25"/>
    <n v="4"/>
    <n v="100"/>
    <x v="1"/>
    <s v="Mr."/>
    <x v="2"/>
  </r>
  <r>
    <x v="885"/>
    <x v="127"/>
    <x v="2"/>
    <x v="1"/>
    <n v="25"/>
    <n v="4"/>
    <n v="100"/>
    <x v="1"/>
    <s v="Mrs."/>
    <x v="0"/>
  </r>
  <r>
    <x v="886"/>
    <x v="126"/>
    <x v="0"/>
    <x v="0"/>
    <n v="20"/>
    <n v="3"/>
    <n v="60"/>
    <x v="1"/>
    <s v="Mr."/>
    <x v="3"/>
  </r>
  <r>
    <x v="887"/>
    <x v="251"/>
    <x v="1"/>
    <x v="0"/>
    <n v="20"/>
    <n v="8"/>
    <n v="160"/>
    <x v="1"/>
    <s v="Mr."/>
    <x v="2"/>
  </r>
  <r>
    <x v="888"/>
    <x v="316"/>
    <x v="1"/>
    <x v="0"/>
    <n v="20"/>
    <n v="10"/>
    <n v="200"/>
    <x v="2"/>
    <s v="Mr."/>
    <x v="4"/>
  </r>
  <r>
    <x v="889"/>
    <x v="71"/>
    <x v="2"/>
    <x v="1"/>
    <n v="25"/>
    <n v="5"/>
    <n v="125"/>
    <x v="1"/>
    <s v="Mrs."/>
    <x v="3"/>
  </r>
  <r>
    <x v="890"/>
    <x v="261"/>
    <x v="6"/>
    <x v="1"/>
    <n v="40"/>
    <n v="11"/>
    <n v="440"/>
    <x v="1"/>
    <s v="Mr."/>
    <x v="4"/>
  </r>
  <r>
    <x v="891"/>
    <x v="335"/>
    <x v="2"/>
    <x v="1"/>
    <n v="25"/>
    <n v="7"/>
    <n v="175"/>
    <x v="2"/>
    <s v="Mrs."/>
    <x v="2"/>
  </r>
  <r>
    <x v="892"/>
    <x v="336"/>
    <x v="2"/>
    <x v="1"/>
    <n v="25"/>
    <n v="12"/>
    <n v="300"/>
    <x v="1"/>
    <s v="Mrs."/>
    <x v="1"/>
  </r>
  <r>
    <x v="893"/>
    <x v="113"/>
    <x v="5"/>
    <x v="0"/>
    <n v="60"/>
    <n v="15"/>
    <n v="900"/>
    <x v="1"/>
    <s v="Mr."/>
    <x v="3"/>
  </r>
  <r>
    <x v="894"/>
    <x v="141"/>
    <x v="2"/>
    <x v="1"/>
    <n v="25"/>
    <n v="11"/>
    <n v="275"/>
    <x v="1"/>
    <s v="Mr."/>
    <x v="1"/>
  </r>
  <r>
    <x v="895"/>
    <x v="213"/>
    <x v="0"/>
    <x v="0"/>
    <n v="20"/>
    <n v="13"/>
    <n v="260"/>
    <x v="1"/>
    <s v="Mr."/>
    <x v="0"/>
  </r>
  <r>
    <x v="896"/>
    <x v="16"/>
    <x v="0"/>
    <x v="0"/>
    <n v="20"/>
    <n v="6"/>
    <n v="120"/>
    <x v="2"/>
    <s v="Mr."/>
    <x v="3"/>
  </r>
  <r>
    <x v="897"/>
    <x v="137"/>
    <x v="4"/>
    <x v="0"/>
    <n v="50"/>
    <n v="8"/>
    <n v="400"/>
    <x v="1"/>
    <s v="Mr."/>
    <x v="1"/>
  </r>
  <r>
    <x v="898"/>
    <x v="334"/>
    <x v="0"/>
    <x v="0"/>
    <n v="20"/>
    <n v="7"/>
    <n v="140"/>
    <x v="1"/>
    <s v="Mr."/>
    <x v="4"/>
  </r>
  <r>
    <x v="899"/>
    <x v="327"/>
    <x v="2"/>
    <x v="1"/>
    <n v="25"/>
    <n v="9"/>
    <n v="225"/>
    <x v="2"/>
    <s v="Mr."/>
    <x v="1"/>
  </r>
  <r>
    <x v="900"/>
    <x v="81"/>
    <x v="1"/>
    <x v="0"/>
    <n v="20"/>
    <n v="7"/>
    <n v="140"/>
    <x v="2"/>
    <s v="Mrs."/>
    <x v="3"/>
  </r>
  <r>
    <x v="901"/>
    <x v="50"/>
    <x v="4"/>
    <x v="0"/>
    <n v="50"/>
    <n v="4"/>
    <n v="200"/>
    <x v="2"/>
    <s v="Mr."/>
    <x v="1"/>
  </r>
  <r>
    <x v="902"/>
    <x v="277"/>
    <x v="0"/>
    <x v="0"/>
    <n v="20"/>
    <n v="15"/>
    <n v="300"/>
    <x v="2"/>
    <s v="Mr."/>
    <x v="0"/>
  </r>
  <r>
    <x v="903"/>
    <x v="337"/>
    <x v="0"/>
    <x v="0"/>
    <n v="20"/>
    <n v="4"/>
    <n v="80"/>
    <x v="1"/>
    <s v="Mrs."/>
    <x v="4"/>
  </r>
  <r>
    <x v="904"/>
    <x v="128"/>
    <x v="4"/>
    <x v="0"/>
    <n v="50"/>
    <n v="15"/>
    <n v="750"/>
    <x v="1"/>
    <s v="Mrs."/>
    <x v="4"/>
  </r>
  <r>
    <x v="905"/>
    <x v="214"/>
    <x v="5"/>
    <x v="0"/>
    <n v="60"/>
    <n v="15"/>
    <n v="900"/>
    <x v="1"/>
    <s v="Mr."/>
    <x v="1"/>
  </r>
  <r>
    <x v="906"/>
    <x v="108"/>
    <x v="6"/>
    <x v="1"/>
    <n v="40"/>
    <n v="4"/>
    <n v="160"/>
    <x v="0"/>
    <s v="Mrs."/>
    <x v="4"/>
  </r>
  <r>
    <x v="907"/>
    <x v="338"/>
    <x v="5"/>
    <x v="0"/>
    <n v="60"/>
    <n v="7"/>
    <n v="420"/>
    <x v="1"/>
    <s v="Mrs."/>
    <x v="0"/>
  </r>
  <r>
    <x v="908"/>
    <x v="339"/>
    <x v="6"/>
    <x v="1"/>
    <n v="40"/>
    <n v="12"/>
    <n v="480"/>
    <x v="2"/>
    <s v="Mrs."/>
    <x v="3"/>
  </r>
  <r>
    <x v="909"/>
    <x v="121"/>
    <x v="3"/>
    <x v="0"/>
    <n v="20"/>
    <n v="1"/>
    <n v="20"/>
    <x v="1"/>
    <s v="Mrs."/>
    <x v="1"/>
  </r>
  <r>
    <x v="910"/>
    <x v="284"/>
    <x v="5"/>
    <x v="0"/>
    <n v="60"/>
    <n v="1"/>
    <n v="60"/>
    <x v="1"/>
    <s v="Mr."/>
    <x v="2"/>
  </r>
  <r>
    <x v="911"/>
    <x v="304"/>
    <x v="0"/>
    <x v="0"/>
    <n v="20"/>
    <n v="6"/>
    <n v="120"/>
    <x v="1"/>
    <s v="Mr."/>
    <x v="2"/>
  </r>
  <r>
    <x v="912"/>
    <x v="230"/>
    <x v="4"/>
    <x v="0"/>
    <n v="50"/>
    <n v="15"/>
    <n v="750"/>
    <x v="2"/>
    <s v="Mr."/>
    <x v="2"/>
  </r>
  <r>
    <x v="913"/>
    <x v="255"/>
    <x v="5"/>
    <x v="0"/>
    <n v="60"/>
    <n v="14"/>
    <n v="840"/>
    <x v="1"/>
    <s v="Mr."/>
    <x v="0"/>
  </r>
  <r>
    <x v="914"/>
    <x v="313"/>
    <x v="6"/>
    <x v="1"/>
    <n v="40"/>
    <n v="7"/>
    <n v="280"/>
    <x v="2"/>
    <s v="Mr."/>
    <x v="1"/>
  </r>
  <r>
    <x v="915"/>
    <x v="120"/>
    <x v="6"/>
    <x v="1"/>
    <n v="40"/>
    <n v="15"/>
    <n v="600"/>
    <x v="0"/>
    <s v="Mrs."/>
    <x v="1"/>
  </r>
  <r>
    <x v="916"/>
    <x v="59"/>
    <x v="1"/>
    <x v="0"/>
    <n v="20"/>
    <n v="15"/>
    <n v="300"/>
    <x v="2"/>
    <s v="Mr."/>
    <x v="2"/>
  </r>
  <r>
    <x v="917"/>
    <x v="173"/>
    <x v="3"/>
    <x v="0"/>
    <n v="20"/>
    <n v="6"/>
    <n v="120"/>
    <x v="1"/>
    <s v="Mr."/>
    <x v="2"/>
  </r>
  <r>
    <x v="918"/>
    <x v="141"/>
    <x v="1"/>
    <x v="0"/>
    <n v="20"/>
    <n v="8"/>
    <n v="160"/>
    <x v="2"/>
    <s v="Mrs."/>
    <x v="2"/>
  </r>
  <r>
    <x v="919"/>
    <x v="11"/>
    <x v="4"/>
    <x v="0"/>
    <n v="50"/>
    <n v="13"/>
    <n v="650"/>
    <x v="2"/>
    <s v="Mr."/>
    <x v="2"/>
  </r>
  <r>
    <x v="920"/>
    <x v="155"/>
    <x v="1"/>
    <x v="0"/>
    <n v="20"/>
    <n v="14"/>
    <n v="280"/>
    <x v="1"/>
    <s v="Mr."/>
    <x v="4"/>
  </r>
  <r>
    <x v="921"/>
    <x v="281"/>
    <x v="4"/>
    <x v="0"/>
    <n v="50"/>
    <n v="5"/>
    <n v="250"/>
    <x v="2"/>
    <s v="Mrs."/>
    <x v="2"/>
  </r>
  <r>
    <x v="922"/>
    <x v="299"/>
    <x v="6"/>
    <x v="1"/>
    <n v="40"/>
    <n v="3"/>
    <n v="120"/>
    <x v="2"/>
    <s v="Mr."/>
    <x v="3"/>
  </r>
  <r>
    <x v="923"/>
    <x v="60"/>
    <x v="3"/>
    <x v="0"/>
    <n v="20"/>
    <n v="14"/>
    <n v="280"/>
    <x v="1"/>
    <s v="Mr."/>
    <x v="1"/>
  </r>
  <r>
    <x v="924"/>
    <x v="104"/>
    <x v="4"/>
    <x v="0"/>
    <n v="50"/>
    <n v="4"/>
    <n v="200"/>
    <x v="2"/>
    <s v="Mrs."/>
    <x v="1"/>
  </r>
  <r>
    <x v="925"/>
    <x v="205"/>
    <x v="4"/>
    <x v="0"/>
    <n v="50"/>
    <n v="15"/>
    <n v="750"/>
    <x v="1"/>
    <s v="Mrs."/>
    <x v="1"/>
  </r>
  <r>
    <x v="926"/>
    <x v="315"/>
    <x v="6"/>
    <x v="1"/>
    <n v="40"/>
    <n v="6"/>
    <n v="240"/>
    <x v="0"/>
    <s v="Mrs."/>
    <x v="2"/>
  </r>
  <r>
    <x v="927"/>
    <x v="298"/>
    <x v="5"/>
    <x v="0"/>
    <n v="60"/>
    <n v="11"/>
    <n v="660"/>
    <x v="2"/>
    <s v="Mr."/>
    <x v="2"/>
  </r>
  <r>
    <x v="928"/>
    <x v="172"/>
    <x v="4"/>
    <x v="0"/>
    <n v="50"/>
    <n v="9"/>
    <n v="450"/>
    <x v="2"/>
    <s v="Mrs."/>
    <x v="0"/>
  </r>
  <r>
    <x v="929"/>
    <x v="325"/>
    <x v="2"/>
    <x v="1"/>
    <n v="25"/>
    <n v="10"/>
    <n v="250"/>
    <x v="2"/>
    <s v="Mr."/>
    <x v="0"/>
  </r>
  <r>
    <x v="930"/>
    <x v="170"/>
    <x v="0"/>
    <x v="0"/>
    <n v="20"/>
    <n v="15"/>
    <n v="300"/>
    <x v="1"/>
    <s v="Mr."/>
    <x v="1"/>
  </r>
  <r>
    <x v="931"/>
    <x v="228"/>
    <x v="5"/>
    <x v="0"/>
    <n v="60"/>
    <n v="9"/>
    <n v="540"/>
    <x v="2"/>
    <s v="Mr."/>
    <x v="1"/>
  </r>
  <r>
    <x v="932"/>
    <x v="242"/>
    <x v="2"/>
    <x v="1"/>
    <n v="25"/>
    <n v="15"/>
    <n v="375"/>
    <x v="2"/>
    <s v="Mrs."/>
    <x v="1"/>
  </r>
  <r>
    <x v="933"/>
    <x v="222"/>
    <x v="6"/>
    <x v="1"/>
    <n v="40"/>
    <n v="4"/>
    <n v="160"/>
    <x v="1"/>
    <s v="Mrs."/>
    <x v="1"/>
  </r>
  <r>
    <x v="934"/>
    <x v="212"/>
    <x v="5"/>
    <x v="0"/>
    <n v="60"/>
    <n v="12"/>
    <n v="720"/>
    <x v="1"/>
    <s v="Mr."/>
    <x v="4"/>
  </r>
  <r>
    <x v="935"/>
    <x v="132"/>
    <x v="3"/>
    <x v="0"/>
    <n v="20"/>
    <n v="2"/>
    <n v="40"/>
    <x v="0"/>
    <s v="Mr."/>
    <x v="4"/>
  </r>
  <r>
    <x v="936"/>
    <x v="292"/>
    <x v="3"/>
    <x v="0"/>
    <n v="20"/>
    <n v="4"/>
    <n v="80"/>
    <x v="1"/>
    <s v="Mr."/>
    <x v="0"/>
  </r>
  <r>
    <x v="937"/>
    <x v="132"/>
    <x v="2"/>
    <x v="1"/>
    <n v="25"/>
    <n v="14"/>
    <n v="350"/>
    <x v="1"/>
    <s v="Mr."/>
    <x v="2"/>
  </r>
  <r>
    <x v="938"/>
    <x v="340"/>
    <x v="1"/>
    <x v="0"/>
    <n v="20"/>
    <n v="15"/>
    <n v="300"/>
    <x v="2"/>
    <s v="Mr."/>
    <x v="4"/>
  </r>
  <r>
    <x v="939"/>
    <x v="90"/>
    <x v="2"/>
    <x v="1"/>
    <n v="25"/>
    <n v="14"/>
    <n v="350"/>
    <x v="2"/>
    <s v="Mrs."/>
    <x v="4"/>
  </r>
  <r>
    <x v="940"/>
    <x v="26"/>
    <x v="6"/>
    <x v="1"/>
    <n v="40"/>
    <n v="10"/>
    <n v="400"/>
    <x v="2"/>
    <s v="Mrs."/>
    <x v="3"/>
  </r>
  <r>
    <x v="941"/>
    <x v="328"/>
    <x v="4"/>
    <x v="0"/>
    <n v="50"/>
    <n v="6"/>
    <n v="300"/>
    <x v="1"/>
    <s v="Mr."/>
    <x v="0"/>
  </r>
  <r>
    <x v="942"/>
    <x v="154"/>
    <x v="1"/>
    <x v="0"/>
    <n v="20"/>
    <n v="6"/>
    <n v="120"/>
    <x v="1"/>
    <s v="Mrs."/>
    <x v="0"/>
  </r>
  <r>
    <x v="943"/>
    <x v="79"/>
    <x v="0"/>
    <x v="0"/>
    <n v="20"/>
    <n v="2"/>
    <n v="40"/>
    <x v="1"/>
    <s v="Mr."/>
    <x v="4"/>
  </r>
  <r>
    <x v="944"/>
    <x v="59"/>
    <x v="6"/>
    <x v="1"/>
    <n v="40"/>
    <n v="2"/>
    <n v="80"/>
    <x v="2"/>
    <s v="Mrs."/>
    <x v="1"/>
  </r>
  <r>
    <x v="945"/>
    <x v="339"/>
    <x v="5"/>
    <x v="0"/>
    <n v="60"/>
    <n v="8"/>
    <n v="480"/>
    <x v="1"/>
    <s v="Mr."/>
    <x v="4"/>
  </r>
  <r>
    <x v="946"/>
    <x v="232"/>
    <x v="0"/>
    <x v="0"/>
    <n v="20"/>
    <n v="11"/>
    <n v="220"/>
    <x v="2"/>
    <s v="Mr."/>
    <x v="0"/>
  </r>
  <r>
    <x v="947"/>
    <x v="195"/>
    <x v="5"/>
    <x v="0"/>
    <n v="60"/>
    <n v="10"/>
    <n v="600"/>
    <x v="2"/>
    <s v="Mr."/>
    <x v="2"/>
  </r>
  <r>
    <x v="948"/>
    <x v="341"/>
    <x v="3"/>
    <x v="0"/>
    <n v="20"/>
    <n v="1"/>
    <n v="20"/>
    <x v="1"/>
    <s v="Mrs."/>
    <x v="2"/>
  </r>
  <r>
    <x v="949"/>
    <x v="238"/>
    <x v="4"/>
    <x v="0"/>
    <n v="50"/>
    <n v="6"/>
    <n v="300"/>
    <x v="2"/>
    <s v="Mrs."/>
    <x v="2"/>
  </r>
  <r>
    <x v="950"/>
    <x v="280"/>
    <x v="3"/>
    <x v="0"/>
    <n v="20"/>
    <n v="11"/>
    <n v="220"/>
    <x v="1"/>
    <s v="Mrs."/>
    <x v="1"/>
  </r>
  <r>
    <x v="951"/>
    <x v="342"/>
    <x v="0"/>
    <x v="0"/>
    <n v="20"/>
    <n v="14"/>
    <n v="280"/>
    <x v="1"/>
    <s v="Mrs."/>
    <x v="2"/>
  </r>
  <r>
    <x v="952"/>
    <x v="333"/>
    <x v="5"/>
    <x v="0"/>
    <n v="60"/>
    <n v="2"/>
    <n v="120"/>
    <x v="2"/>
    <s v="Mrs."/>
    <x v="1"/>
  </r>
  <r>
    <x v="953"/>
    <x v="220"/>
    <x v="0"/>
    <x v="0"/>
    <n v="20"/>
    <n v="3"/>
    <n v="60"/>
    <x v="1"/>
    <s v="Mrs."/>
    <x v="4"/>
  </r>
  <r>
    <x v="954"/>
    <x v="194"/>
    <x v="2"/>
    <x v="1"/>
    <n v="25"/>
    <n v="7"/>
    <n v="175"/>
    <x v="2"/>
    <s v="Mr."/>
    <x v="1"/>
  </r>
  <r>
    <x v="955"/>
    <x v="178"/>
    <x v="4"/>
    <x v="0"/>
    <n v="50"/>
    <n v="13"/>
    <n v="650"/>
    <x v="2"/>
    <s v="Mr."/>
    <x v="3"/>
  </r>
  <r>
    <x v="956"/>
    <x v="145"/>
    <x v="3"/>
    <x v="0"/>
    <n v="20"/>
    <n v="3"/>
    <n v="60"/>
    <x v="2"/>
    <s v="Mrs."/>
    <x v="4"/>
  </r>
  <r>
    <x v="957"/>
    <x v="32"/>
    <x v="5"/>
    <x v="0"/>
    <n v="60"/>
    <n v="11"/>
    <n v="660"/>
    <x v="2"/>
    <s v="Mrs."/>
    <x v="0"/>
  </r>
  <r>
    <x v="958"/>
    <x v="193"/>
    <x v="1"/>
    <x v="0"/>
    <n v="20"/>
    <n v="8"/>
    <n v="160"/>
    <x v="2"/>
    <s v="Mrs."/>
    <x v="4"/>
  </r>
  <r>
    <x v="959"/>
    <x v="308"/>
    <x v="2"/>
    <x v="1"/>
    <n v="25"/>
    <n v="15"/>
    <n v="375"/>
    <x v="2"/>
    <s v="Mrs."/>
    <x v="2"/>
  </r>
  <r>
    <x v="960"/>
    <x v="86"/>
    <x v="4"/>
    <x v="0"/>
    <n v="50"/>
    <n v="13"/>
    <n v="650"/>
    <x v="1"/>
    <s v="Mr."/>
    <x v="0"/>
  </r>
  <r>
    <x v="961"/>
    <x v="225"/>
    <x v="4"/>
    <x v="0"/>
    <n v="50"/>
    <n v="13"/>
    <n v="650"/>
    <x v="2"/>
    <s v="Mrs."/>
    <x v="1"/>
  </r>
  <r>
    <x v="962"/>
    <x v="241"/>
    <x v="1"/>
    <x v="0"/>
    <n v="20"/>
    <n v="6"/>
    <n v="120"/>
    <x v="1"/>
    <s v="Mrs."/>
    <x v="3"/>
  </r>
  <r>
    <x v="963"/>
    <x v="41"/>
    <x v="6"/>
    <x v="1"/>
    <n v="40"/>
    <n v="8"/>
    <n v="320"/>
    <x v="1"/>
    <s v="Mr."/>
    <x v="2"/>
  </r>
  <r>
    <x v="964"/>
    <x v="244"/>
    <x v="4"/>
    <x v="0"/>
    <n v="50"/>
    <n v="5"/>
    <n v="250"/>
    <x v="2"/>
    <s v="Mrs."/>
    <x v="0"/>
  </r>
  <r>
    <x v="965"/>
    <x v="113"/>
    <x v="3"/>
    <x v="0"/>
    <n v="20"/>
    <n v="11"/>
    <n v="220"/>
    <x v="2"/>
    <s v="Mrs."/>
    <x v="3"/>
  </r>
  <r>
    <x v="966"/>
    <x v="343"/>
    <x v="6"/>
    <x v="1"/>
    <n v="40"/>
    <n v="14"/>
    <n v="560"/>
    <x v="1"/>
    <s v="Mr."/>
    <x v="1"/>
  </r>
  <r>
    <x v="967"/>
    <x v="124"/>
    <x v="6"/>
    <x v="1"/>
    <n v="40"/>
    <n v="15"/>
    <n v="600"/>
    <x v="1"/>
    <s v="Mrs."/>
    <x v="3"/>
  </r>
  <r>
    <x v="968"/>
    <x v="44"/>
    <x v="6"/>
    <x v="1"/>
    <n v="40"/>
    <n v="11"/>
    <n v="440"/>
    <x v="1"/>
    <s v="Mr."/>
    <x v="3"/>
  </r>
  <r>
    <x v="969"/>
    <x v="344"/>
    <x v="0"/>
    <x v="0"/>
    <n v="20"/>
    <n v="5"/>
    <n v="100"/>
    <x v="2"/>
    <s v="Mrs."/>
    <x v="1"/>
  </r>
  <r>
    <x v="970"/>
    <x v="4"/>
    <x v="4"/>
    <x v="0"/>
    <n v="50"/>
    <n v="2"/>
    <n v="100"/>
    <x v="1"/>
    <s v="Mrs."/>
    <x v="3"/>
  </r>
  <r>
    <x v="971"/>
    <x v="218"/>
    <x v="0"/>
    <x v="0"/>
    <n v="20"/>
    <n v="1"/>
    <n v="20"/>
    <x v="1"/>
    <s v="Mrs."/>
    <x v="1"/>
  </r>
  <r>
    <x v="972"/>
    <x v="322"/>
    <x v="2"/>
    <x v="1"/>
    <n v="25"/>
    <n v="1"/>
    <n v="25"/>
    <x v="0"/>
    <s v="Mrs."/>
    <x v="3"/>
  </r>
  <r>
    <x v="973"/>
    <x v="27"/>
    <x v="1"/>
    <x v="0"/>
    <n v="20"/>
    <n v="13"/>
    <n v="260"/>
    <x v="2"/>
    <s v="Mr."/>
    <x v="1"/>
  </r>
  <r>
    <x v="974"/>
    <x v="259"/>
    <x v="0"/>
    <x v="0"/>
    <n v="20"/>
    <n v="1"/>
    <n v="20"/>
    <x v="1"/>
    <s v="Mr."/>
    <x v="4"/>
  </r>
  <r>
    <x v="975"/>
    <x v="175"/>
    <x v="2"/>
    <x v="1"/>
    <n v="25"/>
    <n v="11"/>
    <n v="275"/>
    <x v="0"/>
    <s v="Mrs."/>
    <x v="3"/>
  </r>
  <r>
    <x v="976"/>
    <x v="34"/>
    <x v="0"/>
    <x v="0"/>
    <n v="20"/>
    <n v="1"/>
    <n v="20"/>
    <x v="1"/>
    <s v="Mr."/>
    <x v="2"/>
  </r>
  <r>
    <x v="977"/>
    <x v="244"/>
    <x v="4"/>
    <x v="0"/>
    <n v="50"/>
    <n v="2"/>
    <n v="100"/>
    <x v="2"/>
    <s v="Mr."/>
    <x v="0"/>
  </r>
  <r>
    <x v="978"/>
    <x v="248"/>
    <x v="0"/>
    <x v="0"/>
    <n v="20"/>
    <n v="13"/>
    <n v="260"/>
    <x v="1"/>
    <s v="Mrs."/>
    <x v="4"/>
  </r>
  <r>
    <x v="979"/>
    <x v="135"/>
    <x v="1"/>
    <x v="0"/>
    <n v="20"/>
    <n v="9"/>
    <n v="180"/>
    <x v="2"/>
    <s v="Mr."/>
    <x v="3"/>
  </r>
  <r>
    <x v="980"/>
    <x v="345"/>
    <x v="3"/>
    <x v="0"/>
    <n v="20"/>
    <n v="15"/>
    <n v="300"/>
    <x v="2"/>
    <s v="Mr."/>
    <x v="4"/>
  </r>
  <r>
    <x v="981"/>
    <x v="346"/>
    <x v="2"/>
    <x v="1"/>
    <n v="25"/>
    <n v="14"/>
    <n v="350"/>
    <x v="1"/>
    <s v="Mrs."/>
    <x v="0"/>
  </r>
  <r>
    <x v="982"/>
    <x v="234"/>
    <x v="6"/>
    <x v="1"/>
    <n v="40"/>
    <n v="10"/>
    <n v="400"/>
    <x v="0"/>
    <s v="Mrs."/>
    <x v="0"/>
  </r>
  <r>
    <x v="983"/>
    <x v="341"/>
    <x v="4"/>
    <x v="0"/>
    <n v="50"/>
    <n v="3"/>
    <n v="150"/>
    <x v="1"/>
    <s v="Mr."/>
    <x v="1"/>
  </r>
  <r>
    <x v="984"/>
    <x v="347"/>
    <x v="4"/>
    <x v="0"/>
    <n v="50"/>
    <n v="1"/>
    <n v="50"/>
    <x v="1"/>
    <s v="Mrs."/>
    <x v="1"/>
  </r>
  <r>
    <x v="985"/>
    <x v="178"/>
    <x v="2"/>
    <x v="1"/>
    <n v="25"/>
    <n v="13"/>
    <n v="325"/>
    <x v="2"/>
    <s v="Mr."/>
    <x v="0"/>
  </r>
  <r>
    <x v="986"/>
    <x v="187"/>
    <x v="1"/>
    <x v="0"/>
    <n v="20"/>
    <n v="3"/>
    <n v="60"/>
    <x v="1"/>
    <s v="Mrs."/>
    <x v="2"/>
  </r>
  <r>
    <x v="987"/>
    <x v="141"/>
    <x v="4"/>
    <x v="0"/>
    <n v="50"/>
    <n v="13"/>
    <n v="650"/>
    <x v="0"/>
    <s v="Mrs."/>
    <x v="0"/>
  </r>
  <r>
    <x v="988"/>
    <x v="144"/>
    <x v="6"/>
    <x v="1"/>
    <n v="40"/>
    <n v="13"/>
    <n v="520"/>
    <x v="1"/>
    <s v="Mr."/>
    <x v="1"/>
  </r>
  <r>
    <x v="989"/>
    <x v="303"/>
    <x v="1"/>
    <x v="0"/>
    <n v="20"/>
    <n v="10"/>
    <n v="200"/>
    <x v="2"/>
    <s v="Mrs."/>
    <x v="3"/>
  </r>
  <r>
    <x v="990"/>
    <x v="219"/>
    <x v="5"/>
    <x v="0"/>
    <n v="60"/>
    <n v="7"/>
    <n v="420"/>
    <x v="1"/>
    <s v="Mrs."/>
    <x v="0"/>
  </r>
  <r>
    <x v="991"/>
    <x v="247"/>
    <x v="5"/>
    <x v="0"/>
    <n v="60"/>
    <n v="5"/>
    <n v="300"/>
    <x v="1"/>
    <s v="Mr."/>
    <x v="3"/>
  </r>
  <r>
    <x v="992"/>
    <x v="70"/>
    <x v="4"/>
    <x v="0"/>
    <n v="50"/>
    <n v="3"/>
    <n v="150"/>
    <x v="2"/>
    <s v="Mrs."/>
    <x v="0"/>
  </r>
  <r>
    <x v="993"/>
    <x v="287"/>
    <x v="3"/>
    <x v="0"/>
    <n v="20"/>
    <n v="2"/>
    <n v="40"/>
    <x v="2"/>
    <s v="Mrs."/>
    <x v="2"/>
  </r>
  <r>
    <x v="994"/>
    <x v="177"/>
    <x v="2"/>
    <x v="1"/>
    <n v="25"/>
    <n v="1"/>
    <n v="25"/>
    <x v="2"/>
    <s v="Mr."/>
    <x v="0"/>
  </r>
  <r>
    <x v="995"/>
    <x v="113"/>
    <x v="4"/>
    <x v="0"/>
    <n v="50"/>
    <n v="10"/>
    <n v="500"/>
    <x v="0"/>
    <s v="Mrs."/>
    <x v="2"/>
  </r>
  <r>
    <x v="996"/>
    <x v="319"/>
    <x v="5"/>
    <x v="0"/>
    <n v="60"/>
    <n v="7"/>
    <n v="420"/>
    <x v="0"/>
    <s v="Mr."/>
    <x v="2"/>
  </r>
  <r>
    <x v="997"/>
    <x v="295"/>
    <x v="5"/>
    <x v="0"/>
    <n v="60"/>
    <n v="13"/>
    <n v="780"/>
    <x v="0"/>
    <s v="Mr."/>
    <x v="2"/>
  </r>
  <r>
    <x v="998"/>
    <x v="138"/>
    <x v="3"/>
    <x v="0"/>
    <n v="20"/>
    <n v="5"/>
    <n v="100"/>
    <x v="0"/>
    <s v="Mrs."/>
    <x v="1"/>
  </r>
  <r>
    <x v="999"/>
    <x v="73"/>
    <x v="0"/>
    <x v="0"/>
    <n v="20"/>
    <n v="3"/>
    <n v="60"/>
    <x v="2"/>
    <s v="Mrs."/>
    <x v="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6E30563-0BC3-4E6B-A866-303D814DCADC}" name="PivotTable2" cacheId="9"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A3:A1004" firstHeaderRow="1" firstDataRow="1" firstDataCol="1"/>
  <pivotFields count="13">
    <pivotField axis="axisRow" showAll="0">
      <items count="10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t="default"/>
      </items>
    </pivotField>
    <pivotField numFmtId="14" showAll="0">
      <items count="349">
        <item x="311"/>
        <item x="283"/>
        <item x="235"/>
        <item x="214"/>
        <item x="58"/>
        <item x="298"/>
        <item x="105"/>
        <item x="284"/>
        <item x="104"/>
        <item x="156"/>
        <item x="316"/>
        <item x="13"/>
        <item x="279"/>
        <item x="167"/>
        <item x="175"/>
        <item x="161"/>
        <item x="134"/>
        <item x="307"/>
        <item x="196"/>
        <item x="312"/>
        <item x="150"/>
        <item x="101"/>
        <item x="204"/>
        <item x="146"/>
        <item x="262"/>
        <item x="329"/>
        <item x="326"/>
        <item x="178"/>
        <item x="272"/>
        <item x="293"/>
        <item x="6"/>
        <item x="273"/>
        <item x="162"/>
        <item x="29"/>
        <item x="41"/>
        <item x="83"/>
        <item x="38"/>
        <item x="317"/>
        <item x="301"/>
        <item x="79"/>
        <item x="78"/>
        <item x="36"/>
        <item x="59"/>
        <item x="46"/>
        <item x="123"/>
        <item x="225"/>
        <item x="305"/>
        <item x="147"/>
        <item x="248"/>
        <item x="32"/>
        <item x="306"/>
        <item x="68"/>
        <item x="224"/>
        <item x="20"/>
        <item x="250"/>
        <item x="203"/>
        <item x="73"/>
        <item x="299"/>
        <item x="265"/>
        <item x="133"/>
        <item x="217"/>
        <item x="321"/>
        <item x="275"/>
        <item x="172"/>
        <item x="322"/>
        <item x="258"/>
        <item x="102"/>
        <item x="8"/>
        <item x="53"/>
        <item x="116"/>
        <item x="281"/>
        <item x="347"/>
        <item x="117"/>
        <item x="209"/>
        <item x="291"/>
        <item x="177"/>
        <item x="184"/>
        <item x="135"/>
        <item x="292"/>
        <item x="221"/>
        <item x="151"/>
        <item x="170"/>
        <item x="201"/>
        <item x="191"/>
        <item x="343"/>
        <item x="154"/>
        <item x="52"/>
        <item x="33"/>
        <item x="0"/>
        <item x="274"/>
        <item x="302"/>
        <item x="100"/>
        <item x="74"/>
        <item x="223"/>
        <item x="278"/>
        <item x="42"/>
        <item x="266"/>
        <item x="11"/>
        <item x="336"/>
        <item x="335"/>
        <item x="290"/>
        <item x="270"/>
        <item x="70"/>
        <item x="185"/>
        <item x="199"/>
        <item x="328"/>
        <item x="127"/>
        <item x="200"/>
        <item x="131"/>
        <item x="229"/>
        <item x="57"/>
        <item x="48"/>
        <item x="157"/>
        <item x="64"/>
        <item x="276"/>
        <item x="168"/>
        <item x="331"/>
        <item x="246"/>
        <item x="318"/>
        <item x="51"/>
        <item x="243"/>
        <item x="91"/>
        <item x="107"/>
        <item x="92"/>
        <item x="124"/>
        <item x="132"/>
        <item x="308"/>
        <item x="310"/>
        <item x="97"/>
        <item x="40"/>
        <item x="232"/>
        <item x="66"/>
        <item x="23"/>
        <item x="72"/>
        <item x="294"/>
        <item x="211"/>
        <item x="16"/>
        <item x="1"/>
        <item x="112"/>
        <item x="285"/>
        <item x="99"/>
        <item x="138"/>
        <item x="39"/>
        <item x="297"/>
        <item x="22"/>
        <item x="114"/>
        <item x="140"/>
        <item x="94"/>
        <item x="251"/>
        <item x="179"/>
        <item x="186"/>
        <item x="260"/>
        <item x="254"/>
        <item x="181"/>
        <item x="82"/>
        <item x="257"/>
        <item x="28"/>
        <item x="17"/>
        <item x="9"/>
        <item x="304"/>
        <item x="119"/>
        <item x="222"/>
        <item x="319"/>
        <item x="155"/>
        <item x="210"/>
        <item x="197"/>
        <item x="342"/>
        <item x="238"/>
        <item x="282"/>
        <item x="252"/>
        <item x="163"/>
        <item x="188"/>
        <item x="67"/>
        <item x="4"/>
        <item x="130"/>
        <item x="19"/>
        <item x="241"/>
        <item x="226"/>
        <item x="313"/>
        <item x="244"/>
        <item x="121"/>
        <item x="300"/>
        <item x="144"/>
        <item x="24"/>
        <item x="240"/>
        <item x="103"/>
        <item x="215"/>
        <item x="14"/>
        <item x="55"/>
        <item x="228"/>
        <item x="108"/>
        <item x="231"/>
        <item x="247"/>
        <item x="233"/>
        <item x="324"/>
        <item x="126"/>
        <item x="148"/>
        <item x="87"/>
        <item x="122"/>
        <item x="76"/>
        <item x="213"/>
        <item x="236"/>
        <item x="287"/>
        <item x="45"/>
        <item x="271"/>
        <item x="268"/>
        <item x="15"/>
        <item x="44"/>
        <item x="267"/>
        <item x="152"/>
        <item x="320"/>
        <item x="333"/>
        <item x="280"/>
        <item x="173"/>
        <item x="37"/>
        <item x="5"/>
        <item x="176"/>
        <item x="93"/>
        <item x="120"/>
        <item x="180"/>
        <item x="69"/>
        <item x="2"/>
        <item x="344"/>
        <item x="174"/>
        <item x="50"/>
        <item x="303"/>
        <item x="12"/>
        <item x="239"/>
        <item x="325"/>
        <item x="193"/>
        <item x="169"/>
        <item x="227"/>
        <item x="10"/>
        <item x="315"/>
        <item x="106"/>
        <item x="159"/>
        <item x="62"/>
        <item x="327"/>
        <item x="189"/>
        <item x="56"/>
        <item x="164"/>
        <item x="171"/>
        <item x="96"/>
        <item x="128"/>
        <item x="192"/>
        <item x="149"/>
        <item x="314"/>
        <item x="60"/>
        <item x="309"/>
        <item x="289"/>
        <item x="110"/>
        <item x="18"/>
        <item x="7"/>
        <item x="75"/>
        <item x="81"/>
        <item x="54"/>
        <item x="264"/>
        <item x="261"/>
        <item x="49"/>
        <item x="208"/>
        <item x="118"/>
        <item x="256"/>
        <item x="277"/>
        <item x="160"/>
        <item x="141"/>
        <item x="187"/>
        <item x="34"/>
        <item x="25"/>
        <item x="341"/>
        <item x="61"/>
        <item x="182"/>
        <item x="98"/>
        <item x="142"/>
        <item x="111"/>
        <item x="259"/>
        <item x="195"/>
        <item x="253"/>
        <item x="219"/>
        <item x="109"/>
        <item x="139"/>
        <item x="242"/>
        <item x="345"/>
        <item x="330"/>
        <item x="334"/>
        <item x="88"/>
        <item x="295"/>
        <item x="194"/>
        <item x="27"/>
        <item x="190"/>
        <item x="125"/>
        <item x="220"/>
        <item x="153"/>
        <item x="65"/>
        <item x="3"/>
        <item x="31"/>
        <item x="30"/>
        <item x="198"/>
        <item x="90"/>
        <item x="145"/>
        <item x="296"/>
        <item x="26"/>
        <item x="21"/>
        <item x="269"/>
        <item x="136"/>
        <item x="263"/>
        <item x="230"/>
        <item x="216"/>
        <item x="212"/>
        <item x="332"/>
        <item x="340"/>
        <item x="158"/>
        <item x="339"/>
        <item x="286"/>
        <item x="43"/>
        <item x="95"/>
        <item x="89"/>
        <item x="115"/>
        <item x="205"/>
        <item x="288"/>
        <item x="255"/>
        <item x="137"/>
        <item x="71"/>
        <item x="237"/>
        <item x="183"/>
        <item x="338"/>
        <item x="165"/>
        <item x="35"/>
        <item x="63"/>
        <item x="206"/>
        <item x="218"/>
        <item x="337"/>
        <item x="85"/>
        <item x="86"/>
        <item x="143"/>
        <item x="47"/>
        <item x="234"/>
        <item x="207"/>
        <item x="113"/>
        <item x="323"/>
        <item x="202"/>
        <item x="77"/>
        <item x="166"/>
        <item x="245"/>
        <item x="129"/>
        <item x="84"/>
        <item x="249"/>
        <item x="80"/>
        <item x="346"/>
        <item t="default"/>
      </items>
    </pivotField>
    <pivotField showAll="0">
      <items count="8">
        <item x="0"/>
        <item x="6"/>
        <item x="4"/>
        <item x="3"/>
        <item x="5"/>
        <item x="2"/>
        <item x="1"/>
        <item t="default"/>
      </items>
    </pivotField>
    <pivotField showAll="0">
      <items count="3">
        <item x="1"/>
        <item x="0"/>
        <item t="default"/>
      </items>
    </pivotField>
    <pivotField numFmtId="168" showAll="0"/>
    <pivotField showAll="0"/>
    <pivotField numFmtId="168" showAll="0"/>
    <pivotField showAll="0">
      <items count="4">
        <item x="1"/>
        <item x="2"/>
        <item x="0"/>
        <item t="default"/>
      </items>
    </pivotField>
    <pivotField showAll="0"/>
    <pivotField showAll="0">
      <items count="6">
        <item x="1"/>
        <item x="2"/>
        <item x="4"/>
        <item x="3"/>
        <item x="0"/>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0"/>
  </rowFields>
  <rowItems count="100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x v="579"/>
    </i>
    <i>
      <x v="580"/>
    </i>
    <i>
      <x v="581"/>
    </i>
    <i>
      <x v="582"/>
    </i>
    <i>
      <x v="583"/>
    </i>
    <i>
      <x v="584"/>
    </i>
    <i>
      <x v="585"/>
    </i>
    <i>
      <x v="586"/>
    </i>
    <i>
      <x v="587"/>
    </i>
    <i>
      <x v="588"/>
    </i>
    <i>
      <x v="589"/>
    </i>
    <i>
      <x v="590"/>
    </i>
    <i>
      <x v="591"/>
    </i>
    <i>
      <x v="592"/>
    </i>
    <i>
      <x v="593"/>
    </i>
    <i>
      <x v="594"/>
    </i>
    <i>
      <x v="595"/>
    </i>
    <i>
      <x v="596"/>
    </i>
    <i>
      <x v="597"/>
    </i>
    <i>
      <x v="598"/>
    </i>
    <i>
      <x v="599"/>
    </i>
    <i>
      <x v="600"/>
    </i>
    <i>
      <x v="601"/>
    </i>
    <i>
      <x v="602"/>
    </i>
    <i>
      <x v="603"/>
    </i>
    <i>
      <x v="604"/>
    </i>
    <i>
      <x v="605"/>
    </i>
    <i>
      <x v="606"/>
    </i>
    <i>
      <x v="607"/>
    </i>
    <i>
      <x v="608"/>
    </i>
    <i>
      <x v="609"/>
    </i>
    <i>
      <x v="610"/>
    </i>
    <i>
      <x v="611"/>
    </i>
    <i>
      <x v="612"/>
    </i>
    <i>
      <x v="613"/>
    </i>
    <i>
      <x v="614"/>
    </i>
    <i>
      <x v="615"/>
    </i>
    <i>
      <x v="616"/>
    </i>
    <i>
      <x v="617"/>
    </i>
    <i>
      <x v="618"/>
    </i>
    <i>
      <x v="619"/>
    </i>
    <i>
      <x v="620"/>
    </i>
    <i>
      <x v="621"/>
    </i>
    <i>
      <x v="622"/>
    </i>
    <i>
      <x v="623"/>
    </i>
    <i>
      <x v="624"/>
    </i>
    <i>
      <x v="625"/>
    </i>
    <i>
      <x v="626"/>
    </i>
    <i>
      <x v="627"/>
    </i>
    <i>
      <x v="628"/>
    </i>
    <i>
      <x v="629"/>
    </i>
    <i>
      <x v="630"/>
    </i>
    <i>
      <x v="631"/>
    </i>
    <i>
      <x v="632"/>
    </i>
    <i>
      <x v="633"/>
    </i>
    <i>
      <x v="634"/>
    </i>
    <i>
      <x v="635"/>
    </i>
    <i>
      <x v="636"/>
    </i>
    <i>
      <x v="637"/>
    </i>
    <i>
      <x v="638"/>
    </i>
    <i>
      <x v="639"/>
    </i>
    <i>
      <x v="640"/>
    </i>
    <i>
      <x v="641"/>
    </i>
    <i>
      <x v="642"/>
    </i>
    <i>
      <x v="643"/>
    </i>
    <i>
      <x v="644"/>
    </i>
    <i>
      <x v="645"/>
    </i>
    <i>
      <x v="646"/>
    </i>
    <i>
      <x v="647"/>
    </i>
    <i>
      <x v="648"/>
    </i>
    <i>
      <x v="649"/>
    </i>
    <i>
      <x v="650"/>
    </i>
    <i>
      <x v="651"/>
    </i>
    <i>
      <x v="652"/>
    </i>
    <i>
      <x v="653"/>
    </i>
    <i>
      <x v="654"/>
    </i>
    <i>
      <x v="655"/>
    </i>
    <i>
      <x v="656"/>
    </i>
    <i>
      <x v="657"/>
    </i>
    <i>
      <x v="658"/>
    </i>
    <i>
      <x v="659"/>
    </i>
    <i>
      <x v="660"/>
    </i>
    <i>
      <x v="661"/>
    </i>
    <i>
      <x v="662"/>
    </i>
    <i>
      <x v="663"/>
    </i>
    <i>
      <x v="664"/>
    </i>
    <i>
      <x v="665"/>
    </i>
    <i>
      <x v="666"/>
    </i>
    <i>
      <x v="667"/>
    </i>
    <i>
      <x v="668"/>
    </i>
    <i>
      <x v="669"/>
    </i>
    <i>
      <x v="670"/>
    </i>
    <i>
      <x v="671"/>
    </i>
    <i>
      <x v="672"/>
    </i>
    <i>
      <x v="673"/>
    </i>
    <i>
      <x v="674"/>
    </i>
    <i>
      <x v="675"/>
    </i>
    <i>
      <x v="676"/>
    </i>
    <i>
      <x v="677"/>
    </i>
    <i>
      <x v="678"/>
    </i>
    <i>
      <x v="679"/>
    </i>
    <i>
      <x v="680"/>
    </i>
    <i>
      <x v="681"/>
    </i>
    <i>
      <x v="682"/>
    </i>
    <i>
      <x v="683"/>
    </i>
    <i>
      <x v="684"/>
    </i>
    <i>
      <x v="685"/>
    </i>
    <i>
      <x v="686"/>
    </i>
    <i>
      <x v="687"/>
    </i>
    <i>
      <x v="688"/>
    </i>
    <i>
      <x v="689"/>
    </i>
    <i>
      <x v="690"/>
    </i>
    <i>
      <x v="691"/>
    </i>
    <i>
      <x v="692"/>
    </i>
    <i>
      <x v="693"/>
    </i>
    <i>
      <x v="694"/>
    </i>
    <i>
      <x v="695"/>
    </i>
    <i>
      <x v="696"/>
    </i>
    <i>
      <x v="697"/>
    </i>
    <i>
      <x v="698"/>
    </i>
    <i>
      <x v="699"/>
    </i>
    <i>
      <x v="700"/>
    </i>
    <i>
      <x v="701"/>
    </i>
    <i>
      <x v="702"/>
    </i>
    <i>
      <x v="703"/>
    </i>
    <i>
      <x v="704"/>
    </i>
    <i>
      <x v="705"/>
    </i>
    <i>
      <x v="706"/>
    </i>
    <i>
      <x v="707"/>
    </i>
    <i>
      <x v="708"/>
    </i>
    <i>
      <x v="709"/>
    </i>
    <i>
      <x v="710"/>
    </i>
    <i>
      <x v="711"/>
    </i>
    <i>
      <x v="712"/>
    </i>
    <i>
      <x v="713"/>
    </i>
    <i>
      <x v="714"/>
    </i>
    <i>
      <x v="715"/>
    </i>
    <i>
      <x v="716"/>
    </i>
    <i>
      <x v="717"/>
    </i>
    <i>
      <x v="718"/>
    </i>
    <i>
      <x v="719"/>
    </i>
    <i>
      <x v="720"/>
    </i>
    <i>
      <x v="721"/>
    </i>
    <i>
      <x v="722"/>
    </i>
    <i>
      <x v="723"/>
    </i>
    <i>
      <x v="724"/>
    </i>
    <i>
      <x v="725"/>
    </i>
    <i>
      <x v="726"/>
    </i>
    <i>
      <x v="727"/>
    </i>
    <i>
      <x v="728"/>
    </i>
    <i>
      <x v="729"/>
    </i>
    <i>
      <x v="730"/>
    </i>
    <i>
      <x v="731"/>
    </i>
    <i>
      <x v="732"/>
    </i>
    <i>
      <x v="733"/>
    </i>
    <i>
      <x v="734"/>
    </i>
    <i>
      <x v="735"/>
    </i>
    <i>
      <x v="736"/>
    </i>
    <i>
      <x v="737"/>
    </i>
    <i>
      <x v="738"/>
    </i>
    <i>
      <x v="739"/>
    </i>
    <i>
      <x v="740"/>
    </i>
    <i>
      <x v="741"/>
    </i>
    <i>
      <x v="742"/>
    </i>
    <i>
      <x v="743"/>
    </i>
    <i>
      <x v="744"/>
    </i>
    <i>
      <x v="745"/>
    </i>
    <i>
      <x v="746"/>
    </i>
    <i>
      <x v="747"/>
    </i>
    <i>
      <x v="748"/>
    </i>
    <i>
      <x v="749"/>
    </i>
    <i>
      <x v="750"/>
    </i>
    <i>
      <x v="751"/>
    </i>
    <i>
      <x v="752"/>
    </i>
    <i>
      <x v="753"/>
    </i>
    <i>
      <x v="754"/>
    </i>
    <i>
      <x v="755"/>
    </i>
    <i>
      <x v="756"/>
    </i>
    <i>
      <x v="757"/>
    </i>
    <i>
      <x v="758"/>
    </i>
    <i>
      <x v="759"/>
    </i>
    <i>
      <x v="760"/>
    </i>
    <i>
      <x v="761"/>
    </i>
    <i>
      <x v="762"/>
    </i>
    <i>
      <x v="763"/>
    </i>
    <i>
      <x v="764"/>
    </i>
    <i>
      <x v="765"/>
    </i>
    <i>
      <x v="766"/>
    </i>
    <i>
      <x v="767"/>
    </i>
    <i>
      <x v="768"/>
    </i>
    <i>
      <x v="769"/>
    </i>
    <i>
      <x v="770"/>
    </i>
    <i>
      <x v="771"/>
    </i>
    <i>
      <x v="772"/>
    </i>
    <i>
      <x v="773"/>
    </i>
    <i>
      <x v="774"/>
    </i>
    <i>
      <x v="775"/>
    </i>
    <i>
      <x v="776"/>
    </i>
    <i>
      <x v="777"/>
    </i>
    <i>
      <x v="778"/>
    </i>
    <i>
      <x v="779"/>
    </i>
    <i>
      <x v="780"/>
    </i>
    <i>
      <x v="781"/>
    </i>
    <i>
      <x v="782"/>
    </i>
    <i>
      <x v="783"/>
    </i>
    <i>
      <x v="784"/>
    </i>
    <i>
      <x v="785"/>
    </i>
    <i>
      <x v="786"/>
    </i>
    <i>
      <x v="787"/>
    </i>
    <i>
      <x v="788"/>
    </i>
    <i>
      <x v="789"/>
    </i>
    <i>
      <x v="790"/>
    </i>
    <i>
      <x v="791"/>
    </i>
    <i>
      <x v="792"/>
    </i>
    <i>
      <x v="793"/>
    </i>
    <i>
      <x v="794"/>
    </i>
    <i>
      <x v="795"/>
    </i>
    <i>
      <x v="796"/>
    </i>
    <i>
      <x v="797"/>
    </i>
    <i>
      <x v="798"/>
    </i>
    <i>
      <x v="799"/>
    </i>
    <i>
      <x v="800"/>
    </i>
    <i>
      <x v="801"/>
    </i>
    <i>
      <x v="802"/>
    </i>
    <i>
      <x v="803"/>
    </i>
    <i>
      <x v="804"/>
    </i>
    <i>
      <x v="805"/>
    </i>
    <i>
      <x v="806"/>
    </i>
    <i>
      <x v="807"/>
    </i>
    <i>
      <x v="808"/>
    </i>
    <i>
      <x v="809"/>
    </i>
    <i>
      <x v="810"/>
    </i>
    <i>
      <x v="811"/>
    </i>
    <i>
      <x v="812"/>
    </i>
    <i>
      <x v="813"/>
    </i>
    <i>
      <x v="814"/>
    </i>
    <i>
      <x v="815"/>
    </i>
    <i>
      <x v="816"/>
    </i>
    <i>
      <x v="817"/>
    </i>
    <i>
      <x v="818"/>
    </i>
    <i>
      <x v="819"/>
    </i>
    <i>
      <x v="820"/>
    </i>
    <i>
      <x v="821"/>
    </i>
    <i>
      <x v="822"/>
    </i>
    <i>
      <x v="823"/>
    </i>
    <i>
      <x v="824"/>
    </i>
    <i>
      <x v="825"/>
    </i>
    <i>
      <x v="826"/>
    </i>
    <i>
      <x v="827"/>
    </i>
    <i>
      <x v="828"/>
    </i>
    <i>
      <x v="829"/>
    </i>
    <i>
      <x v="830"/>
    </i>
    <i>
      <x v="831"/>
    </i>
    <i>
      <x v="832"/>
    </i>
    <i>
      <x v="833"/>
    </i>
    <i>
      <x v="834"/>
    </i>
    <i>
      <x v="835"/>
    </i>
    <i>
      <x v="836"/>
    </i>
    <i>
      <x v="837"/>
    </i>
    <i>
      <x v="838"/>
    </i>
    <i>
      <x v="839"/>
    </i>
    <i>
      <x v="840"/>
    </i>
    <i>
      <x v="841"/>
    </i>
    <i>
      <x v="842"/>
    </i>
    <i>
      <x v="843"/>
    </i>
    <i>
      <x v="844"/>
    </i>
    <i>
      <x v="845"/>
    </i>
    <i>
      <x v="846"/>
    </i>
    <i>
      <x v="847"/>
    </i>
    <i>
      <x v="848"/>
    </i>
    <i>
      <x v="849"/>
    </i>
    <i>
      <x v="850"/>
    </i>
    <i>
      <x v="851"/>
    </i>
    <i>
      <x v="852"/>
    </i>
    <i>
      <x v="853"/>
    </i>
    <i>
      <x v="854"/>
    </i>
    <i>
      <x v="855"/>
    </i>
    <i>
      <x v="856"/>
    </i>
    <i>
      <x v="857"/>
    </i>
    <i>
      <x v="858"/>
    </i>
    <i>
      <x v="859"/>
    </i>
    <i>
      <x v="860"/>
    </i>
    <i>
      <x v="861"/>
    </i>
    <i>
      <x v="862"/>
    </i>
    <i>
      <x v="863"/>
    </i>
    <i>
      <x v="864"/>
    </i>
    <i>
      <x v="865"/>
    </i>
    <i>
      <x v="866"/>
    </i>
    <i>
      <x v="867"/>
    </i>
    <i>
      <x v="868"/>
    </i>
    <i>
      <x v="869"/>
    </i>
    <i>
      <x v="870"/>
    </i>
    <i>
      <x v="871"/>
    </i>
    <i>
      <x v="872"/>
    </i>
    <i>
      <x v="873"/>
    </i>
    <i>
      <x v="874"/>
    </i>
    <i>
      <x v="875"/>
    </i>
    <i>
      <x v="876"/>
    </i>
    <i>
      <x v="877"/>
    </i>
    <i>
      <x v="878"/>
    </i>
    <i>
      <x v="879"/>
    </i>
    <i>
      <x v="880"/>
    </i>
    <i>
      <x v="881"/>
    </i>
    <i>
      <x v="882"/>
    </i>
    <i>
      <x v="883"/>
    </i>
    <i>
      <x v="884"/>
    </i>
    <i>
      <x v="885"/>
    </i>
    <i>
      <x v="886"/>
    </i>
    <i>
      <x v="887"/>
    </i>
    <i>
      <x v="888"/>
    </i>
    <i>
      <x v="889"/>
    </i>
    <i>
      <x v="890"/>
    </i>
    <i>
      <x v="891"/>
    </i>
    <i>
      <x v="892"/>
    </i>
    <i>
      <x v="893"/>
    </i>
    <i>
      <x v="894"/>
    </i>
    <i>
      <x v="895"/>
    </i>
    <i>
      <x v="896"/>
    </i>
    <i>
      <x v="897"/>
    </i>
    <i>
      <x v="898"/>
    </i>
    <i>
      <x v="899"/>
    </i>
    <i>
      <x v="900"/>
    </i>
    <i>
      <x v="901"/>
    </i>
    <i>
      <x v="902"/>
    </i>
    <i>
      <x v="903"/>
    </i>
    <i>
      <x v="904"/>
    </i>
    <i>
      <x v="905"/>
    </i>
    <i>
      <x v="906"/>
    </i>
    <i>
      <x v="907"/>
    </i>
    <i>
      <x v="908"/>
    </i>
    <i>
      <x v="909"/>
    </i>
    <i>
      <x v="910"/>
    </i>
    <i>
      <x v="911"/>
    </i>
    <i>
      <x v="912"/>
    </i>
    <i>
      <x v="913"/>
    </i>
    <i>
      <x v="914"/>
    </i>
    <i>
      <x v="915"/>
    </i>
    <i>
      <x v="916"/>
    </i>
    <i>
      <x v="917"/>
    </i>
    <i>
      <x v="918"/>
    </i>
    <i>
      <x v="919"/>
    </i>
    <i>
      <x v="920"/>
    </i>
    <i>
      <x v="921"/>
    </i>
    <i>
      <x v="922"/>
    </i>
    <i>
      <x v="923"/>
    </i>
    <i>
      <x v="924"/>
    </i>
    <i>
      <x v="925"/>
    </i>
    <i>
      <x v="926"/>
    </i>
    <i>
      <x v="927"/>
    </i>
    <i>
      <x v="928"/>
    </i>
    <i>
      <x v="929"/>
    </i>
    <i>
      <x v="930"/>
    </i>
    <i>
      <x v="931"/>
    </i>
    <i>
      <x v="932"/>
    </i>
    <i>
      <x v="933"/>
    </i>
    <i>
      <x v="934"/>
    </i>
    <i>
      <x v="935"/>
    </i>
    <i>
      <x v="936"/>
    </i>
    <i>
      <x v="937"/>
    </i>
    <i>
      <x v="938"/>
    </i>
    <i>
      <x v="939"/>
    </i>
    <i>
      <x v="940"/>
    </i>
    <i>
      <x v="941"/>
    </i>
    <i>
      <x v="942"/>
    </i>
    <i>
      <x v="943"/>
    </i>
    <i>
      <x v="944"/>
    </i>
    <i>
      <x v="945"/>
    </i>
    <i>
      <x v="946"/>
    </i>
    <i>
      <x v="947"/>
    </i>
    <i>
      <x v="948"/>
    </i>
    <i>
      <x v="949"/>
    </i>
    <i>
      <x v="950"/>
    </i>
    <i>
      <x v="951"/>
    </i>
    <i>
      <x v="952"/>
    </i>
    <i>
      <x v="953"/>
    </i>
    <i>
      <x v="954"/>
    </i>
    <i>
      <x v="955"/>
    </i>
    <i>
      <x v="956"/>
    </i>
    <i>
      <x v="957"/>
    </i>
    <i>
      <x v="958"/>
    </i>
    <i>
      <x v="959"/>
    </i>
    <i>
      <x v="960"/>
    </i>
    <i>
      <x v="961"/>
    </i>
    <i>
      <x v="962"/>
    </i>
    <i>
      <x v="963"/>
    </i>
    <i>
      <x v="964"/>
    </i>
    <i>
      <x v="965"/>
    </i>
    <i>
      <x v="966"/>
    </i>
    <i>
      <x v="967"/>
    </i>
    <i>
      <x v="968"/>
    </i>
    <i>
      <x v="969"/>
    </i>
    <i>
      <x v="970"/>
    </i>
    <i>
      <x v="971"/>
    </i>
    <i>
      <x v="972"/>
    </i>
    <i>
      <x v="973"/>
    </i>
    <i>
      <x v="974"/>
    </i>
    <i>
      <x v="975"/>
    </i>
    <i>
      <x v="976"/>
    </i>
    <i>
      <x v="977"/>
    </i>
    <i>
      <x v="978"/>
    </i>
    <i>
      <x v="979"/>
    </i>
    <i>
      <x v="980"/>
    </i>
    <i>
      <x v="981"/>
    </i>
    <i>
      <x v="982"/>
    </i>
    <i>
      <x v="983"/>
    </i>
    <i>
      <x v="984"/>
    </i>
    <i>
      <x v="985"/>
    </i>
    <i>
      <x v="986"/>
    </i>
    <i>
      <x v="987"/>
    </i>
    <i>
      <x v="988"/>
    </i>
    <i>
      <x v="989"/>
    </i>
    <i>
      <x v="990"/>
    </i>
    <i>
      <x v="991"/>
    </i>
    <i>
      <x v="992"/>
    </i>
    <i>
      <x v="993"/>
    </i>
    <i>
      <x v="994"/>
    </i>
    <i>
      <x v="995"/>
    </i>
    <i>
      <x v="996"/>
    </i>
    <i>
      <x v="997"/>
    </i>
    <i>
      <x v="998"/>
    </i>
    <i>
      <x v="999"/>
    </i>
    <i t="grand">
      <x/>
    </i>
  </rowItems>
  <colItems count="1">
    <i/>
  </colItem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CDDAB93-D81C-4C93-BFEC-37927E616C3E}" name="PivotTable9" cacheId="9"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7">
  <location ref="A88:B103" firstHeaderRow="1" firstDataRow="1" firstDataCol="1"/>
  <pivotFields count="13">
    <pivotField showAll="0"/>
    <pivotField axis="axisRow" numFmtId="14" showAll="0">
      <items count="349">
        <item x="311"/>
        <item x="283"/>
        <item x="235"/>
        <item x="214"/>
        <item x="58"/>
        <item x="298"/>
        <item x="105"/>
        <item x="284"/>
        <item x="104"/>
        <item x="156"/>
        <item x="316"/>
        <item x="13"/>
        <item x="279"/>
        <item x="167"/>
        <item x="175"/>
        <item x="161"/>
        <item x="134"/>
        <item x="307"/>
        <item x="196"/>
        <item x="312"/>
        <item x="150"/>
        <item x="101"/>
        <item x="204"/>
        <item x="146"/>
        <item x="262"/>
        <item x="329"/>
        <item x="326"/>
        <item x="178"/>
        <item x="272"/>
        <item x="293"/>
        <item x="6"/>
        <item x="273"/>
        <item x="162"/>
        <item x="29"/>
        <item x="41"/>
        <item x="83"/>
        <item x="38"/>
        <item x="317"/>
        <item x="301"/>
        <item x="79"/>
        <item x="78"/>
        <item x="36"/>
        <item x="59"/>
        <item x="46"/>
        <item x="123"/>
        <item x="225"/>
        <item x="305"/>
        <item x="147"/>
        <item x="248"/>
        <item x="32"/>
        <item x="306"/>
        <item x="68"/>
        <item x="224"/>
        <item x="20"/>
        <item x="250"/>
        <item x="203"/>
        <item x="73"/>
        <item x="299"/>
        <item x="265"/>
        <item x="133"/>
        <item x="217"/>
        <item x="321"/>
        <item x="275"/>
        <item x="172"/>
        <item x="322"/>
        <item x="258"/>
        <item x="102"/>
        <item x="8"/>
        <item x="53"/>
        <item x="116"/>
        <item x="281"/>
        <item x="347"/>
        <item x="117"/>
        <item x="209"/>
        <item x="291"/>
        <item x="177"/>
        <item x="184"/>
        <item x="135"/>
        <item x="292"/>
        <item x="221"/>
        <item x="151"/>
        <item x="170"/>
        <item x="201"/>
        <item x="191"/>
        <item x="343"/>
        <item x="154"/>
        <item x="52"/>
        <item x="33"/>
        <item x="0"/>
        <item x="274"/>
        <item x="302"/>
        <item x="100"/>
        <item x="74"/>
        <item x="223"/>
        <item x="278"/>
        <item x="42"/>
        <item x="266"/>
        <item x="11"/>
        <item x="336"/>
        <item x="335"/>
        <item x="290"/>
        <item x="270"/>
        <item x="70"/>
        <item x="185"/>
        <item x="199"/>
        <item x="328"/>
        <item x="127"/>
        <item x="200"/>
        <item x="131"/>
        <item x="229"/>
        <item x="57"/>
        <item x="48"/>
        <item x="157"/>
        <item x="64"/>
        <item x="276"/>
        <item x="168"/>
        <item x="331"/>
        <item x="246"/>
        <item x="318"/>
        <item x="51"/>
        <item x="243"/>
        <item x="91"/>
        <item x="107"/>
        <item x="92"/>
        <item x="124"/>
        <item x="132"/>
        <item x="308"/>
        <item x="310"/>
        <item x="97"/>
        <item x="40"/>
        <item x="232"/>
        <item x="66"/>
        <item x="23"/>
        <item x="72"/>
        <item x="294"/>
        <item x="211"/>
        <item x="16"/>
        <item x="1"/>
        <item x="112"/>
        <item x="285"/>
        <item x="99"/>
        <item x="138"/>
        <item x="39"/>
        <item x="297"/>
        <item x="22"/>
        <item x="114"/>
        <item x="140"/>
        <item x="94"/>
        <item x="251"/>
        <item x="179"/>
        <item x="186"/>
        <item x="260"/>
        <item x="254"/>
        <item x="181"/>
        <item x="82"/>
        <item x="257"/>
        <item x="28"/>
        <item x="17"/>
        <item x="9"/>
        <item x="304"/>
        <item x="119"/>
        <item x="222"/>
        <item x="319"/>
        <item x="155"/>
        <item x="210"/>
        <item x="197"/>
        <item x="342"/>
        <item x="238"/>
        <item x="282"/>
        <item x="252"/>
        <item x="163"/>
        <item x="188"/>
        <item x="67"/>
        <item x="4"/>
        <item x="130"/>
        <item x="19"/>
        <item x="241"/>
        <item x="226"/>
        <item x="313"/>
        <item x="244"/>
        <item x="121"/>
        <item x="300"/>
        <item x="144"/>
        <item x="24"/>
        <item x="240"/>
        <item x="103"/>
        <item x="215"/>
        <item x="14"/>
        <item x="55"/>
        <item x="228"/>
        <item x="108"/>
        <item x="231"/>
        <item x="247"/>
        <item x="233"/>
        <item x="324"/>
        <item x="126"/>
        <item x="148"/>
        <item x="87"/>
        <item x="122"/>
        <item x="76"/>
        <item x="213"/>
        <item x="236"/>
        <item x="287"/>
        <item x="45"/>
        <item x="271"/>
        <item x="268"/>
        <item x="15"/>
        <item x="44"/>
        <item x="267"/>
        <item x="152"/>
        <item x="320"/>
        <item x="333"/>
        <item x="280"/>
        <item x="173"/>
        <item x="37"/>
        <item x="5"/>
        <item x="176"/>
        <item x="93"/>
        <item x="120"/>
        <item x="180"/>
        <item x="69"/>
        <item x="2"/>
        <item x="344"/>
        <item x="174"/>
        <item x="50"/>
        <item x="303"/>
        <item x="12"/>
        <item x="239"/>
        <item x="325"/>
        <item x="193"/>
        <item x="169"/>
        <item x="227"/>
        <item x="10"/>
        <item x="315"/>
        <item x="106"/>
        <item x="159"/>
        <item x="62"/>
        <item x="327"/>
        <item x="189"/>
        <item x="56"/>
        <item x="164"/>
        <item x="171"/>
        <item x="96"/>
        <item x="128"/>
        <item x="192"/>
        <item x="149"/>
        <item x="314"/>
        <item x="60"/>
        <item x="309"/>
        <item x="289"/>
        <item x="110"/>
        <item x="18"/>
        <item x="7"/>
        <item x="75"/>
        <item x="81"/>
        <item x="54"/>
        <item x="264"/>
        <item x="261"/>
        <item x="49"/>
        <item x="208"/>
        <item x="118"/>
        <item x="256"/>
        <item x="277"/>
        <item x="160"/>
        <item x="141"/>
        <item x="187"/>
        <item x="34"/>
        <item x="25"/>
        <item x="341"/>
        <item x="61"/>
        <item x="182"/>
        <item x="98"/>
        <item x="142"/>
        <item x="111"/>
        <item x="259"/>
        <item x="195"/>
        <item x="253"/>
        <item x="219"/>
        <item x="109"/>
        <item x="139"/>
        <item x="242"/>
        <item x="345"/>
        <item x="330"/>
        <item x="334"/>
        <item x="88"/>
        <item x="295"/>
        <item x="194"/>
        <item x="27"/>
        <item x="190"/>
        <item x="125"/>
        <item x="220"/>
        <item x="153"/>
        <item x="65"/>
        <item x="3"/>
        <item x="31"/>
        <item x="30"/>
        <item x="198"/>
        <item x="90"/>
        <item x="145"/>
        <item x="296"/>
        <item x="26"/>
        <item x="21"/>
        <item x="269"/>
        <item x="136"/>
        <item x="263"/>
        <item x="230"/>
        <item x="216"/>
        <item x="212"/>
        <item x="332"/>
        <item x="340"/>
        <item x="158"/>
        <item x="339"/>
        <item x="286"/>
        <item x="43"/>
        <item x="95"/>
        <item x="89"/>
        <item x="115"/>
        <item x="205"/>
        <item x="288"/>
        <item x="255"/>
        <item x="137"/>
        <item x="71"/>
        <item x="237"/>
        <item x="183"/>
        <item x="338"/>
        <item x="165"/>
        <item x="35"/>
        <item x="63"/>
        <item x="206"/>
        <item x="218"/>
        <item x="337"/>
        <item x="85"/>
        <item x="86"/>
        <item x="143"/>
        <item x="47"/>
        <item x="234"/>
        <item x="207"/>
        <item x="113"/>
        <item x="323"/>
        <item x="202"/>
        <item x="77"/>
        <item x="166"/>
        <item x="245"/>
        <item x="129"/>
        <item x="84"/>
        <item x="249"/>
        <item x="80"/>
        <item x="346"/>
        <item t="default"/>
      </items>
    </pivotField>
    <pivotField showAll="0">
      <items count="8">
        <item x="0"/>
        <item x="6"/>
        <item x="4"/>
        <item x="3"/>
        <item x="5"/>
        <item x="2"/>
        <item x="1"/>
        <item t="default"/>
      </items>
    </pivotField>
    <pivotField showAll="0">
      <items count="3">
        <item x="1"/>
        <item x="0"/>
        <item t="default"/>
      </items>
    </pivotField>
    <pivotField numFmtId="168" showAll="0"/>
    <pivotField showAll="0"/>
    <pivotField dataField="1" numFmtId="168" showAll="0"/>
    <pivotField showAll="0">
      <items count="4">
        <item x="1"/>
        <item x="2"/>
        <item x="0"/>
        <item t="default"/>
      </items>
    </pivotField>
    <pivotField showAll="0"/>
    <pivotField showAll="0">
      <items count="6">
        <item x="1"/>
        <item x="2"/>
        <item x="4"/>
        <item x="3"/>
        <item x="0"/>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 axis="axisRow" showAll="0">
      <items count="7">
        <item sd="0" x="0"/>
        <item x="1"/>
        <item sd="0" x="2"/>
        <item sd="0" x="3"/>
        <item sd="0" x="4"/>
        <item sd="0" x="5"/>
        <item t="default"/>
      </items>
    </pivotField>
    <pivotField axis="axisRow" showAll="0">
      <items count="5">
        <item sd="0" x="0"/>
        <item x="1"/>
        <item x="2"/>
        <item sd="0" x="3"/>
        <item t="default"/>
      </items>
    </pivotField>
  </pivotFields>
  <rowFields count="4">
    <field x="12"/>
    <field x="10"/>
    <field x="11"/>
    <field x="1"/>
  </rowFields>
  <rowItems count="15">
    <i>
      <x v="1"/>
    </i>
    <i r="1">
      <x v="4"/>
    </i>
    <i r="1">
      <x v="5"/>
    </i>
    <i r="1">
      <x v="6"/>
    </i>
    <i r="1">
      <x v="7"/>
    </i>
    <i r="1">
      <x v="8"/>
    </i>
    <i r="1">
      <x v="9"/>
    </i>
    <i r="1">
      <x v="10"/>
    </i>
    <i r="1">
      <x v="11"/>
    </i>
    <i r="1">
      <x v="12"/>
    </i>
    <i>
      <x v="2"/>
    </i>
    <i r="1">
      <x v="1"/>
    </i>
    <i r="1">
      <x v="2"/>
    </i>
    <i r="1">
      <x v="3"/>
    </i>
    <i t="grand">
      <x/>
    </i>
  </rowItems>
  <colItems count="1">
    <i/>
  </colItems>
  <dataFields count="1">
    <dataField name="Sum of transaction_amount" fld="6" baseField="0" baseItem="0" numFmtId="168"/>
  </dataFields>
  <chartFormats count="2">
    <chartFormat chart="13" format="0" series="1">
      <pivotArea type="data" outline="0" fieldPosition="0">
        <references count="1">
          <reference field="4294967294" count="1" selected="0">
            <x v="0"/>
          </reference>
        </references>
      </pivotArea>
    </chartFormat>
    <chartFormat chart="1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4E36611-1196-4C75-8DC7-0CBB50A85AA1}" name="PivotTable8" cacheId="9"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5">
  <location ref="A76:B82" firstHeaderRow="1" firstDataRow="1" firstDataCol="1"/>
  <pivotFields count="13">
    <pivotField showAll="0"/>
    <pivotField numFmtId="14" showAll="0">
      <items count="349">
        <item x="311"/>
        <item x="283"/>
        <item x="235"/>
        <item x="214"/>
        <item x="58"/>
        <item x="298"/>
        <item x="105"/>
        <item x="284"/>
        <item x="104"/>
        <item x="156"/>
        <item x="316"/>
        <item x="13"/>
        <item x="279"/>
        <item x="167"/>
        <item x="175"/>
        <item x="161"/>
        <item x="134"/>
        <item x="307"/>
        <item x="196"/>
        <item x="312"/>
        <item x="150"/>
        <item x="101"/>
        <item x="204"/>
        <item x="146"/>
        <item x="262"/>
        <item x="329"/>
        <item x="326"/>
        <item x="178"/>
        <item x="272"/>
        <item x="293"/>
        <item x="6"/>
        <item x="273"/>
        <item x="162"/>
        <item x="29"/>
        <item x="41"/>
        <item x="83"/>
        <item x="38"/>
        <item x="317"/>
        <item x="301"/>
        <item x="79"/>
        <item x="78"/>
        <item x="36"/>
        <item x="59"/>
        <item x="46"/>
        <item x="123"/>
        <item x="225"/>
        <item x="305"/>
        <item x="147"/>
        <item x="248"/>
        <item x="32"/>
        <item x="306"/>
        <item x="68"/>
        <item x="224"/>
        <item x="20"/>
        <item x="250"/>
        <item x="203"/>
        <item x="73"/>
        <item x="299"/>
        <item x="265"/>
        <item x="133"/>
        <item x="217"/>
        <item x="321"/>
        <item x="275"/>
        <item x="172"/>
        <item x="322"/>
        <item x="258"/>
        <item x="102"/>
        <item x="8"/>
        <item x="53"/>
        <item x="116"/>
        <item x="281"/>
        <item x="347"/>
        <item x="117"/>
        <item x="209"/>
        <item x="291"/>
        <item x="177"/>
        <item x="184"/>
        <item x="135"/>
        <item x="292"/>
        <item x="221"/>
        <item x="151"/>
        <item x="170"/>
        <item x="201"/>
        <item x="191"/>
        <item x="343"/>
        <item x="154"/>
        <item x="52"/>
        <item x="33"/>
        <item x="0"/>
        <item x="274"/>
        <item x="302"/>
        <item x="100"/>
        <item x="74"/>
        <item x="223"/>
        <item x="278"/>
        <item x="42"/>
        <item x="266"/>
        <item x="11"/>
        <item x="336"/>
        <item x="335"/>
        <item x="290"/>
        <item x="270"/>
        <item x="70"/>
        <item x="185"/>
        <item x="199"/>
        <item x="328"/>
        <item x="127"/>
        <item x="200"/>
        <item x="131"/>
        <item x="229"/>
        <item x="57"/>
        <item x="48"/>
        <item x="157"/>
        <item x="64"/>
        <item x="276"/>
        <item x="168"/>
        <item x="331"/>
        <item x="246"/>
        <item x="318"/>
        <item x="51"/>
        <item x="243"/>
        <item x="91"/>
        <item x="107"/>
        <item x="92"/>
        <item x="124"/>
        <item x="132"/>
        <item x="308"/>
        <item x="310"/>
        <item x="97"/>
        <item x="40"/>
        <item x="232"/>
        <item x="66"/>
        <item x="23"/>
        <item x="72"/>
        <item x="294"/>
        <item x="211"/>
        <item x="16"/>
        <item x="1"/>
        <item x="112"/>
        <item x="285"/>
        <item x="99"/>
        <item x="138"/>
        <item x="39"/>
        <item x="297"/>
        <item x="22"/>
        <item x="114"/>
        <item x="140"/>
        <item x="94"/>
        <item x="251"/>
        <item x="179"/>
        <item x="186"/>
        <item x="260"/>
        <item x="254"/>
        <item x="181"/>
        <item x="82"/>
        <item x="257"/>
        <item x="28"/>
        <item x="17"/>
        <item x="9"/>
        <item x="304"/>
        <item x="119"/>
        <item x="222"/>
        <item x="319"/>
        <item x="155"/>
        <item x="210"/>
        <item x="197"/>
        <item x="342"/>
        <item x="238"/>
        <item x="282"/>
        <item x="252"/>
        <item x="163"/>
        <item x="188"/>
        <item x="67"/>
        <item x="4"/>
        <item x="130"/>
        <item x="19"/>
        <item x="241"/>
        <item x="226"/>
        <item x="313"/>
        <item x="244"/>
        <item x="121"/>
        <item x="300"/>
        <item x="144"/>
        <item x="24"/>
        <item x="240"/>
        <item x="103"/>
        <item x="215"/>
        <item x="14"/>
        <item x="55"/>
        <item x="228"/>
        <item x="108"/>
        <item x="231"/>
        <item x="247"/>
        <item x="233"/>
        <item x="324"/>
        <item x="126"/>
        <item x="148"/>
        <item x="87"/>
        <item x="122"/>
        <item x="76"/>
        <item x="213"/>
        <item x="236"/>
        <item x="287"/>
        <item x="45"/>
        <item x="271"/>
        <item x="268"/>
        <item x="15"/>
        <item x="44"/>
        <item x="267"/>
        <item x="152"/>
        <item x="320"/>
        <item x="333"/>
        <item x="280"/>
        <item x="173"/>
        <item x="37"/>
        <item x="5"/>
        <item x="176"/>
        <item x="93"/>
        <item x="120"/>
        <item x="180"/>
        <item x="69"/>
        <item x="2"/>
        <item x="344"/>
        <item x="174"/>
        <item x="50"/>
        <item x="303"/>
        <item x="12"/>
        <item x="239"/>
        <item x="325"/>
        <item x="193"/>
        <item x="169"/>
        <item x="227"/>
        <item x="10"/>
        <item x="315"/>
        <item x="106"/>
        <item x="159"/>
        <item x="62"/>
        <item x="327"/>
        <item x="189"/>
        <item x="56"/>
        <item x="164"/>
        <item x="171"/>
        <item x="96"/>
        <item x="128"/>
        <item x="192"/>
        <item x="149"/>
        <item x="314"/>
        <item x="60"/>
        <item x="309"/>
        <item x="289"/>
        <item x="110"/>
        <item x="18"/>
        <item x="7"/>
        <item x="75"/>
        <item x="81"/>
        <item x="54"/>
        <item x="264"/>
        <item x="261"/>
        <item x="49"/>
        <item x="208"/>
        <item x="118"/>
        <item x="256"/>
        <item x="277"/>
        <item x="160"/>
        <item x="141"/>
        <item x="187"/>
        <item x="34"/>
        <item x="25"/>
        <item x="341"/>
        <item x="61"/>
        <item x="182"/>
        <item x="98"/>
        <item x="142"/>
        <item x="111"/>
        <item x="259"/>
        <item x="195"/>
        <item x="253"/>
        <item x="219"/>
        <item x="109"/>
        <item x="139"/>
        <item x="242"/>
        <item x="345"/>
        <item x="330"/>
        <item x="334"/>
        <item x="88"/>
        <item x="295"/>
        <item x="194"/>
        <item x="27"/>
        <item x="190"/>
        <item x="125"/>
        <item x="220"/>
        <item x="153"/>
        <item x="65"/>
        <item x="3"/>
        <item x="31"/>
        <item x="30"/>
        <item x="198"/>
        <item x="90"/>
        <item x="145"/>
        <item x="296"/>
        <item x="26"/>
        <item x="21"/>
        <item x="269"/>
        <item x="136"/>
        <item x="263"/>
        <item x="230"/>
        <item x="216"/>
        <item x="212"/>
        <item x="332"/>
        <item x="340"/>
        <item x="158"/>
        <item x="339"/>
        <item x="286"/>
        <item x="43"/>
        <item x="95"/>
        <item x="89"/>
        <item x="115"/>
        <item x="205"/>
        <item x="288"/>
        <item x="255"/>
        <item x="137"/>
        <item x="71"/>
        <item x="237"/>
        <item x="183"/>
        <item x="338"/>
        <item x="165"/>
        <item x="35"/>
        <item x="63"/>
        <item x="206"/>
        <item x="218"/>
        <item x="337"/>
        <item x="85"/>
        <item x="86"/>
        <item x="143"/>
        <item x="47"/>
        <item x="234"/>
        <item x="207"/>
        <item x="113"/>
        <item x="323"/>
        <item x="202"/>
        <item x="77"/>
        <item x="166"/>
        <item x="245"/>
        <item x="129"/>
        <item x="84"/>
        <item x="249"/>
        <item x="80"/>
        <item x="346"/>
        <item t="default"/>
      </items>
    </pivotField>
    <pivotField showAll="0">
      <items count="8">
        <item x="0"/>
        <item x="6"/>
        <item x="4"/>
        <item x="3"/>
        <item x="5"/>
        <item x="2"/>
        <item x="1"/>
        <item t="default"/>
      </items>
    </pivotField>
    <pivotField showAll="0">
      <items count="3">
        <item x="1"/>
        <item x="0"/>
        <item t="default"/>
      </items>
    </pivotField>
    <pivotField numFmtId="168" showAll="0"/>
    <pivotField dataField="1" showAll="0"/>
    <pivotField numFmtId="168" showAll="0"/>
    <pivotField showAll="0">
      <items count="4">
        <item x="1"/>
        <item x="2"/>
        <item x="0"/>
        <item t="default"/>
      </items>
    </pivotField>
    <pivotField showAll="0"/>
    <pivotField axis="axisRow" showAll="0">
      <items count="6">
        <item x="1"/>
        <item x="2"/>
        <item x="4"/>
        <item x="3"/>
        <item x="0"/>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9"/>
  </rowFields>
  <rowItems count="6">
    <i>
      <x/>
    </i>
    <i>
      <x v="1"/>
    </i>
    <i>
      <x v="2"/>
    </i>
    <i>
      <x v="3"/>
    </i>
    <i>
      <x v="4"/>
    </i>
    <i t="grand">
      <x/>
    </i>
  </rowItems>
  <colItems count="1">
    <i/>
  </colItems>
  <dataFields count="1">
    <dataField name="Sum of quantity" fld="5" baseField="0" baseItem="0"/>
  </dataFields>
  <chartFormats count="7">
    <chartFormat chart="11" format="0" series="1">
      <pivotArea type="data" outline="0" fieldPosition="0">
        <references count="1">
          <reference field="4294967294" count="1" selected="0">
            <x v="0"/>
          </reference>
        </references>
      </pivotArea>
    </chartFormat>
    <chartFormat chart="14" format="7" series="1">
      <pivotArea type="data" outline="0" fieldPosition="0">
        <references count="1">
          <reference field="4294967294" count="1" selected="0">
            <x v="0"/>
          </reference>
        </references>
      </pivotArea>
    </chartFormat>
    <chartFormat chart="14" format="8">
      <pivotArea type="data" outline="0" fieldPosition="0">
        <references count="2">
          <reference field="4294967294" count="1" selected="0">
            <x v="0"/>
          </reference>
          <reference field="9" count="1" selected="0">
            <x v="0"/>
          </reference>
        </references>
      </pivotArea>
    </chartFormat>
    <chartFormat chart="14" format="9">
      <pivotArea type="data" outline="0" fieldPosition="0">
        <references count="2">
          <reference field="4294967294" count="1" selected="0">
            <x v="0"/>
          </reference>
          <reference field="9" count="1" selected="0">
            <x v="1"/>
          </reference>
        </references>
      </pivotArea>
    </chartFormat>
    <chartFormat chart="14" format="10">
      <pivotArea type="data" outline="0" fieldPosition="0">
        <references count="2">
          <reference field="4294967294" count="1" selected="0">
            <x v="0"/>
          </reference>
          <reference field="9" count="1" selected="0">
            <x v="2"/>
          </reference>
        </references>
      </pivotArea>
    </chartFormat>
    <chartFormat chart="14" format="11">
      <pivotArea type="data" outline="0" fieldPosition="0">
        <references count="2">
          <reference field="4294967294" count="1" selected="0">
            <x v="0"/>
          </reference>
          <reference field="9" count="1" selected="0">
            <x v="3"/>
          </reference>
        </references>
      </pivotArea>
    </chartFormat>
    <chartFormat chart="14" format="12">
      <pivotArea type="data" outline="0" fieldPosition="0">
        <references count="2">
          <reference field="4294967294" count="1" selected="0">
            <x v="0"/>
          </reference>
          <reference field="9"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AA19CAD-A970-4DCC-81E3-BDE90759AF2E}" name="PivotTable7" cacheId="9"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3">
  <location ref="A64:B68" firstHeaderRow="1" firstDataRow="1" firstDataCol="1"/>
  <pivotFields count="13">
    <pivotField showAll="0"/>
    <pivotField numFmtId="14" showAll="0">
      <items count="349">
        <item x="311"/>
        <item x="283"/>
        <item x="235"/>
        <item x="214"/>
        <item x="58"/>
        <item x="298"/>
        <item x="105"/>
        <item x="284"/>
        <item x="104"/>
        <item x="156"/>
        <item x="316"/>
        <item x="13"/>
        <item x="279"/>
        <item x="167"/>
        <item x="175"/>
        <item x="161"/>
        <item x="134"/>
        <item x="307"/>
        <item x="196"/>
        <item x="312"/>
        <item x="150"/>
        <item x="101"/>
        <item x="204"/>
        <item x="146"/>
        <item x="262"/>
        <item x="329"/>
        <item x="326"/>
        <item x="178"/>
        <item x="272"/>
        <item x="293"/>
        <item x="6"/>
        <item x="273"/>
        <item x="162"/>
        <item x="29"/>
        <item x="41"/>
        <item x="83"/>
        <item x="38"/>
        <item x="317"/>
        <item x="301"/>
        <item x="79"/>
        <item x="78"/>
        <item x="36"/>
        <item x="59"/>
        <item x="46"/>
        <item x="123"/>
        <item x="225"/>
        <item x="305"/>
        <item x="147"/>
        <item x="248"/>
        <item x="32"/>
        <item x="306"/>
        <item x="68"/>
        <item x="224"/>
        <item x="20"/>
        <item x="250"/>
        <item x="203"/>
        <item x="73"/>
        <item x="299"/>
        <item x="265"/>
        <item x="133"/>
        <item x="217"/>
        <item x="321"/>
        <item x="275"/>
        <item x="172"/>
        <item x="322"/>
        <item x="258"/>
        <item x="102"/>
        <item x="8"/>
        <item x="53"/>
        <item x="116"/>
        <item x="281"/>
        <item x="347"/>
        <item x="117"/>
        <item x="209"/>
        <item x="291"/>
        <item x="177"/>
        <item x="184"/>
        <item x="135"/>
        <item x="292"/>
        <item x="221"/>
        <item x="151"/>
        <item x="170"/>
        <item x="201"/>
        <item x="191"/>
        <item x="343"/>
        <item x="154"/>
        <item x="52"/>
        <item x="33"/>
        <item x="0"/>
        <item x="274"/>
        <item x="302"/>
        <item x="100"/>
        <item x="74"/>
        <item x="223"/>
        <item x="278"/>
        <item x="42"/>
        <item x="266"/>
        <item x="11"/>
        <item x="336"/>
        <item x="335"/>
        <item x="290"/>
        <item x="270"/>
        <item x="70"/>
        <item x="185"/>
        <item x="199"/>
        <item x="328"/>
        <item x="127"/>
        <item x="200"/>
        <item x="131"/>
        <item x="229"/>
        <item x="57"/>
        <item x="48"/>
        <item x="157"/>
        <item x="64"/>
        <item x="276"/>
        <item x="168"/>
        <item x="331"/>
        <item x="246"/>
        <item x="318"/>
        <item x="51"/>
        <item x="243"/>
        <item x="91"/>
        <item x="107"/>
        <item x="92"/>
        <item x="124"/>
        <item x="132"/>
        <item x="308"/>
        <item x="310"/>
        <item x="97"/>
        <item x="40"/>
        <item x="232"/>
        <item x="66"/>
        <item x="23"/>
        <item x="72"/>
        <item x="294"/>
        <item x="211"/>
        <item x="16"/>
        <item x="1"/>
        <item x="112"/>
        <item x="285"/>
        <item x="99"/>
        <item x="138"/>
        <item x="39"/>
        <item x="297"/>
        <item x="22"/>
        <item x="114"/>
        <item x="140"/>
        <item x="94"/>
        <item x="251"/>
        <item x="179"/>
        <item x="186"/>
        <item x="260"/>
        <item x="254"/>
        <item x="181"/>
        <item x="82"/>
        <item x="257"/>
        <item x="28"/>
        <item x="17"/>
        <item x="9"/>
        <item x="304"/>
        <item x="119"/>
        <item x="222"/>
        <item x="319"/>
        <item x="155"/>
        <item x="210"/>
        <item x="197"/>
        <item x="342"/>
        <item x="238"/>
        <item x="282"/>
        <item x="252"/>
        <item x="163"/>
        <item x="188"/>
        <item x="67"/>
        <item x="4"/>
        <item x="130"/>
        <item x="19"/>
        <item x="241"/>
        <item x="226"/>
        <item x="313"/>
        <item x="244"/>
        <item x="121"/>
        <item x="300"/>
        <item x="144"/>
        <item x="24"/>
        <item x="240"/>
        <item x="103"/>
        <item x="215"/>
        <item x="14"/>
        <item x="55"/>
        <item x="228"/>
        <item x="108"/>
        <item x="231"/>
        <item x="247"/>
        <item x="233"/>
        <item x="324"/>
        <item x="126"/>
        <item x="148"/>
        <item x="87"/>
        <item x="122"/>
        <item x="76"/>
        <item x="213"/>
        <item x="236"/>
        <item x="287"/>
        <item x="45"/>
        <item x="271"/>
        <item x="268"/>
        <item x="15"/>
        <item x="44"/>
        <item x="267"/>
        <item x="152"/>
        <item x="320"/>
        <item x="333"/>
        <item x="280"/>
        <item x="173"/>
        <item x="37"/>
        <item x="5"/>
        <item x="176"/>
        <item x="93"/>
        <item x="120"/>
        <item x="180"/>
        <item x="69"/>
        <item x="2"/>
        <item x="344"/>
        <item x="174"/>
        <item x="50"/>
        <item x="303"/>
        <item x="12"/>
        <item x="239"/>
        <item x="325"/>
        <item x="193"/>
        <item x="169"/>
        <item x="227"/>
        <item x="10"/>
        <item x="315"/>
        <item x="106"/>
        <item x="159"/>
        <item x="62"/>
        <item x="327"/>
        <item x="189"/>
        <item x="56"/>
        <item x="164"/>
        <item x="171"/>
        <item x="96"/>
        <item x="128"/>
        <item x="192"/>
        <item x="149"/>
        <item x="314"/>
        <item x="60"/>
        <item x="309"/>
        <item x="289"/>
        <item x="110"/>
        <item x="18"/>
        <item x="7"/>
        <item x="75"/>
        <item x="81"/>
        <item x="54"/>
        <item x="264"/>
        <item x="261"/>
        <item x="49"/>
        <item x="208"/>
        <item x="118"/>
        <item x="256"/>
        <item x="277"/>
        <item x="160"/>
        <item x="141"/>
        <item x="187"/>
        <item x="34"/>
        <item x="25"/>
        <item x="341"/>
        <item x="61"/>
        <item x="182"/>
        <item x="98"/>
        <item x="142"/>
        <item x="111"/>
        <item x="259"/>
        <item x="195"/>
        <item x="253"/>
        <item x="219"/>
        <item x="109"/>
        <item x="139"/>
        <item x="242"/>
        <item x="345"/>
        <item x="330"/>
        <item x="334"/>
        <item x="88"/>
        <item x="295"/>
        <item x="194"/>
        <item x="27"/>
        <item x="190"/>
        <item x="125"/>
        <item x="220"/>
        <item x="153"/>
        <item x="65"/>
        <item x="3"/>
        <item x="31"/>
        <item x="30"/>
        <item x="198"/>
        <item x="90"/>
        <item x="145"/>
        <item x="296"/>
        <item x="26"/>
        <item x="21"/>
        <item x="269"/>
        <item x="136"/>
        <item x="263"/>
        <item x="230"/>
        <item x="216"/>
        <item x="212"/>
        <item x="332"/>
        <item x="340"/>
        <item x="158"/>
        <item x="339"/>
        <item x="286"/>
        <item x="43"/>
        <item x="95"/>
        <item x="89"/>
        <item x="115"/>
        <item x="205"/>
        <item x="288"/>
        <item x="255"/>
        <item x="137"/>
        <item x="71"/>
        <item x="237"/>
        <item x="183"/>
        <item x="338"/>
        <item x="165"/>
        <item x="35"/>
        <item x="63"/>
        <item x="206"/>
        <item x="218"/>
        <item x="337"/>
        <item x="85"/>
        <item x="86"/>
        <item x="143"/>
        <item x="47"/>
        <item x="234"/>
        <item x="207"/>
        <item x="113"/>
        <item x="323"/>
        <item x="202"/>
        <item x="77"/>
        <item x="166"/>
        <item x="245"/>
        <item x="129"/>
        <item x="84"/>
        <item x="249"/>
        <item x="80"/>
        <item x="346"/>
        <item t="default"/>
      </items>
    </pivotField>
    <pivotField showAll="0">
      <items count="8">
        <item x="0"/>
        <item x="6"/>
        <item x="4"/>
        <item x="3"/>
        <item x="5"/>
        <item x="2"/>
        <item x="1"/>
        <item t="default"/>
      </items>
    </pivotField>
    <pivotField showAll="0">
      <items count="3">
        <item x="1"/>
        <item x="0"/>
        <item t="default"/>
      </items>
    </pivotField>
    <pivotField numFmtId="168" showAll="0"/>
    <pivotField showAll="0"/>
    <pivotField dataField="1" numFmtId="168" showAll="0"/>
    <pivotField axis="axisRow" showAll="0">
      <items count="4">
        <item x="1"/>
        <item x="2"/>
        <item x="0"/>
        <item t="default"/>
      </items>
    </pivotField>
    <pivotField showAll="0"/>
    <pivotField showAll="0">
      <items count="6">
        <item x="1"/>
        <item x="2"/>
        <item x="4"/>
        <item x="3"/>
        <item x="0"/>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7"/>
  </rowFields>
  <rowItems count="4">
    <i>
      <x/>
    </i>
    <i>
      <x v="1"/>
    </i>
    <i>
      <x v="2"/>
    </i>
    <i t="grand">
      <x/>
    </i>
  </rowItems>
  <colItems count="1">
    <i/>
  </colItems>
  <dataFields count="1">
    <dataField name="Sum of transaction_amount" fld="6" baseField="0" baseItem="0" numFmtId="168"/>
  </dataFields>
  <chartFormats count="4">
    <chartFormat chart="5" format="0" series="1">
      <pivotArea type="data" outline="0" fieldPosition="0">
        <references count="1">
          <reference field="4294967294" count="1" selected="0">
            <x v="0"/>
          </reference>
        </references>
      </pivotArea>
    </chartFormat>
    <chartFormat chart="7" format="0"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1D4AA9F-EADF-46AB-83FC-82C436B28E3A}" name="PivotTable6" cacheId="9"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1">
  <location ref="A49:B57" firstHeaderRow="1" firstDataRow="1" firstDataCol="1"/>
  <pivotFields count="13">
    <pivotField showAll="0"/>
    <pivotField numFmtId="14" showAll="0">
      <items count="349">
        <item x="311"/>
        <item x="283"/>
        <item x="235"/>
        <item x="214"/>
        <item x="58"/>
        <item x="298"/>
        <item x="105"/>
        <item x="284"/>
        <item x="104"/>
        <item x="156"/>
        <item x="316"/>
        <item x="13"/>
        <item x="279"/>
        <item x="167"/>
        <item x="175"/>
        <item x="161"/>
        <item x="134"/>
        <item x="307"/>
        <item x="196"/>
        <item x="312"/>
        <item x="150"/>
        <item x="101"/>
        <item x="204"/>
        <item x="146"/>
        <item x="262"/>
        <item x="329"/>
        <item x="326"/>
        <item x="178"/>
        <item x="272"/>
        <item x="293"/>
        <item x="6"/>
        <item x="273"/>
        <item x="162"/>
        <item x="29"/>
        <item x="41"/>
        <item x="83"/>
        <item x="38"/>
        <item x="317"/>
        <item x="301"/>
        <item x="79"/>
        <item x="78"/>
        <item x="36"/>
        <item x="59"/>
        <item x="46"/>
        <item x="123"/>
        <item x="225"/>
        <item x="305"/>
        <item x="147"/>
        <item x="248"/>
        <item x="32"/>
        <item x="306"/>
        <item x="68"/>
        <item x="224"/>
        <item x="20"/>
        <item x="250"/>
        <item x="203"/>
        <item x="73"/>
        <item x="299"/>
        <item x="265"/>
        <item x="133"/>
        <item x="217"/>
        <item x="321"/>
        <item x="275"/>
        <item x="172"/>
        <item x="322"/>
        <item x="258"/>
        <item x="102"/>
        <item x="8"/>
        <item x="53"/>
        <item x="116"/>
        <item x="281"/>
        <item x="347"/>
        <item x="117"/>
        <item x="209"/>
        <item x="291"/>
        <item x="177"/>
        <item x="184"/>
        <item x="135"/>
        <item x="292"/>
        <item x="221"/>
        <item x="151"/>
        <item x="170"/>
        <item x="201"/>
        <item x="191"/>
        <item x="343"/>
        <item x="154"/>
        <item x="52"/>
        <item x="33"/>
        <item x="0"/>
        <item x="274"/>
        <item x="302"/>
        <item x="100"/>
        <item x="74"/>
        <item x="223"/>
        <item x="278"/>
        <item x="42"/>
        <item x="266"/>
        <item x="11"/>
        <item x="336"/>
        <item x="335"/>
        <item x="290"/>
        <item x="270"/>
        <item x="70"/>
        <item x="185"/>
        <item x="199"/>
        <item x="328"/>
        <item x="127"/>
        <item x="200"/>
        <item x="131"/>
        <item x="229"/>
        <item x="57"/>
        <item x="48"/>
        <item x="157"/>
        <item x="64"/>
        <item x="276"/>
        <item x="168"/>
        <item x="331"/>
        <item x="246"/>
        <item x="318"/>
        <item x="51"/>
        <item x="243"/>
        <item x="91"/>
        <item x="107"/>
        <item x="92"/>
        <item x="124"/>
        <item x="132"/>
        <item x="308"/>
        <item x="310"/>
        <item x="97"/>
        <item x="40"/>
        <item x="232"/>
        <item x="66"/>
        <item x="23"/>
        <item x="72"/>
        <item x="294"/>
        <item x="211"/>
        <item x="16"/>
        <item x="1"/>
        <item x="112"/>
        <item x="285"/>
        <item x="99"/>
        <item x="138"/>
        <item x="39"/>
        <item x="297"/>
        <item x="22"/>
        <item x="114"/>
        <item x="140"/>
        <item x="94"/>
        <item x="251"/>
        <item x="179"/>
        <item x="186"/>
        <item x="260"/>
        <item x="254"/>
        <item x="181"/>
        <item x="82"/>
        <item x="257"/>
        <item x="28"/>
        <item x="17"/>
        <item x="9"/>
        <item x="304"/>
        <item x="119"/>
        <item x="222"/>
        <item x="319"/>
        <item x="155"/>
        <item x="210"/>
        <item x="197"/>
        <item x="342"/>
        <item x="238"/>
        <item x="282"/>
        <item x="252"/>
        <item x="163"/>
        <item x="188"/>
        <item x="67"/>
        <item x="4"/>
        <item x="130"/>
        <item x="19"/>
        <item x="241"/>
        <item x="226"/>
        <item x="313"/>
        <item x="244"/>
        <item x="121"/>
        <item x="300"/>
        <item x="144"/>
        <item x="24"/>
        <item x="240"/>
        <item x="103"/>
        <item x="215"/>
        <item x="14"/>
        <item x="55"/>
        <item x="228"/>
        <item x="108"/>
        <item x="231"/>
        <item x="247"/>
        <item x="233"/>
        <item x="324"/>
        <item x="126"/>
        <item x="148"/>
        <item x="87"/>
        <item x="122"/>
        <item x="76"/>
        <item x="213"/>
        <item x="236"/>
        <item x="287"/>
        <item x="45"/>
        <item x="271"/>
        <item x="268"/>
        <item x="15"/>
        <item x="44"/>
        <item x="267"/>
        <item x="152"/>
        <item x="320"/>
        <item x="333"/>
        <item x="280"/>
        <item x="173"/>
        <item x="37"/>
        <item x="5"/>
        <item x="176"/>
        <item x="93"/>
        <item x="120"/>
        <item x="180"/>
        <item x="69"/>
        <item x="2"/>
        <item x="344"/>
        <item x="174"/>
        <item x="50"/>
        <item x="303"/>
        <item x="12"/>
        <item x="239"/>
        <item x="325"/>
        <item x="193"/>
        <item x="169"/>
        <item x="227"/>
        <item x="10"/>
        <item x="315"/>
        <item x="106"/>
        <item x="159"/>
        <item x="62"/>
        <item x="327"/>
        <item x="189"/>
        <item x="56"/>
        <item x="164"/>
        <item x="171"/>
        <item x="96"/>
        <item x="128"/>
        <item x="192"/>
        <item x="149"/>
        <item x="314"/>
        <item x="60"/>
        <item x="309"/>
        <item x="289"/>
        <item x="110"/>
        <item x="18"/>
        <item x="7"/>
        <item x="75"/>
        <item x="81"/>
        <item x="54"/>
        <item x="264"/>
        <item x="261"/>
        <item x="49"/>
        <item x="208"/>
        <item x="118"/>
        <item x="256"/>
        <item x="277"/>
        <item x="160"/>
        <item x="141"/>
        <item x="187"/>
        <item x="34"/>
        <item x="25"/>
        <item x="341"/>
        <item x="61"/>
        <item x="182"/>
        <item x="98"/>
        <item x="142"/>
        <item x="111"/>
        <item x="259"/>
        <item x="195"/>
        <item x="253"/>
        <item x="219"/>
        <item x="109"/>
        <item x="139"/>
        <item x="242"/>
        <item x="345"/>
        <item x="330"/>
        <item x="334"/>
        <item x="88"/>
        <item x="295"/>
        <item x="194"/>
        <item x="27"/>
        <item x="190"/>
        <item x="125"/>
        <item x="220"/>
        <item x="153"/>
        <item x="65"/>
        <item x="3"/>
        <item x="31"/>
        <item x="30"/>
        <item x="198"/>
        <item x="90"/>
        <item x="145"/>
        <item x="296"/>
        <item x="26"/>
        <item x="21"/>
        <item x="269"/>
        <item x="136"/>
        <item x="263"/>
        <item x="230"/>
        <item x="216"/>
        <item x="212"/>
        <item x="332"/>
        <item x="340"/>
        <item x="158"/>
        <item x="339"/>
        <item x="286"/>
        <item x="43"/>
        <item x="95"/>
        <item x="89"/>
        <item x="115"/>
        <item x="205"/>
        <item x="288"/>
        <item x="255"/>
        <item x="137"/>
        <item x="71"/>
        <item x="237"/>
        <item x="183"/>
        <item x="338"/>
        <item x="165"/>
        <item x="35"/>
        <item x="63"/>
        <item x="206"/>
        <item x="218"/>
        <item x="337"/>
        <item x="85"/>
        <item x="86"/>
        <item x="143"/>
        <item x="47"/>
        <item x="234"/>
        <item x="207"/>
        <item x="113"/>
        <item x="323"/>
        <item x="202"/>
        <item x="77"/>
        <item x="166"/>
        <item x="245"/>
        <item x="129"/>
        <item x="84"/>
        <item x="249"/>
        <item x="80"/>
        <item x="346"/>
        <item t="default"/>
      </items>
    </pivotField>
    <pivotField axis="axisRow" showAll="0">
      <items count="8">
        <item x="0"/>
        <item x="6"/>
        <item x="4"/>
        <item x="3"/>
        <item x="5"/>
        <item x="2"/>
        <item x="1"/>
        <item t="default"/>
      </items>
    </pivotField>
    <pivotField showAll="0">
      <items count="3">
        <item x="1"/>
        <item x="0"/>
        <item t="default"/>
      </items>
    </pivotField>
    <pivotField numFmtId="168" showAll="0"/>
    <pivotField showAll="0"/>
    <pivotField dataField="1" numFmtId="168" showAll="0"/>
    <pivotField showAll="0">
      <items count="4">
        <item x="1"/>
        <item x="2"/>
        <item x="0"/>
        <item t="default"/>
      </items>
    </pivotField>
    <pivotField showAll="0"/>
    <pivotField showAll="0">
      <items count="6">
        <item x="1"/>
        <item x="2"/>
        <item x="4"/>
        <item x="3"/>
        <item x="0"/>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2"/>
  </rowFields>
  <rowItems count="8">
    <i>
      <x/>
    </i>
    <i>
      <x v="1"/>
    </i>
    <i>
      <x v="2"/>
    </i>
    <i>
      <x v="3"/>
    </i>
    <i>
      <x v="4"/>
    </i>
    <i>
      <x v="5"/>
    </i>
    <i>
      <x v="6"/>
    </i>
    <i t="grand">
      <x/>
    </i>
  </rowItems>
  <colItems count="1">
    <i/>
  </colItems>
  <dataFields count="1">
    <dataField name="Sum of transaction_amount" fld="6" baseField="0" baseItem="0" numFmtId="168"/>
  </dataFields>
  <chartFormats count="3">
    <chartFormat chart="5" format="0" series="1">
      <pivotArea type="data" outline="0" fieldPosition="0">
        <references count="1">
          <reference field="4294967294" count="1" selected="0">
            <x v="0"/>
          </reference>
        </references>
      </pivotArea>
    </chartFormat>
    <chartFormat chart="7" format="0" series="1">
      <pivotArea type="data" outline="0" fieldPosition="0">
        <references count="1">
          <reference field="4294967294" count="1" selected="0">
            <x v="0"/>
          </reference>
        </references>
      </pivotArea>
    </chartFormat>
    <chartFormat chart="10"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992E4A0-83C8-4334-8AFD-AF9606F85013}" name="PivotTable5" cacheId="9"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9">
  <location ref="A41:B44" firstHeaderRow="1" firstDataRow="1" firstDataCol="1"/>
  <pivotFields count="13">
    <pivotField showAll="0"/>
    <pivotField numFmtId="14" showAll="0">
      <items count="349">
        <item x="311"/>
        <item x="283"/>
        <item x="235"/>
        <item x="214"/>
        <item x="58"/>
        <item x="298"/>
        <item x="105"/>
        <item x="284"/>
        <item x="104"/>
        <item x="156"/>
        <item x="316"/>
        <item x="13"/>
        <item x="279"/>
        <item x="167"/>
        <item x="175"/>
        <item x="161"/>
        <item x="134"/>
        <item x="307"/>
        <item x="196"/>
        <item x="312"/>
        <item x="150"/>
        <item x="101"/>
        <item x="204"/>
        <item x="146"/>
        <item x="262"/>
        <item x="329"/>
        <item x="326"/>
        <item x="178"/>
        <item x="272"/>
        <item x="293"/>
        <item x="6"/>
        <item x="273"/>
        <item x="162"/>
        <item x="29"/>
        <item x="41"/>
        <item x="83"/>
        <item x="38"/>
        <item x="317"/>
        <item x="301"/>
        <item x="79"/>
        <item x="78"/>
        <item x="36"/>
        <item x="59"/>
        <item x="46"/>
        <item x="123"/>
        <item x="225"/>
        <item x="305"/>
        <item x="147"/>
        <item x="248"/>
        <item x="32"/>
        <item x="306"/>
        <item x="68"/>
        <item x="224"/>
        <item x="20"/>
        <item x="250"/>
        <item x="203"/>
        <item x="73"/>
        <item x="299"/>
        <item x="265"/>
        <item x="133"/>
        <item x="217"/>
        <item x="321"/>
        <item x="275"/>
        <item x="172"/>
        <item x="322"/>
        <item x="258"/>
        <item x="102"/>
        <item x="8"/>
        <item x="53"/>
        <item x="116"/>
        <item x="281"/>
        <item x="347"/>
        <item x="117"/>
        <item x="209"/>
        <item x="291"/>
        <item x="177"/>
        <item x="184"/>
        <item x="135"/>
        <item x="292"/>
        <item x="221"/>
        <item x="151"/>
        <item x="170"/>
        <item x="201"/>
        <item x="191"/>
        <item x="343"/>
        <item x="154"/>
        <item x="52"/>
        <item x="33"/>
        <item x="0"/>
        <item x="274"/>
        <item x="302"/>
        <item x="100"/>
        <item x="74"/>
        <item x="223"/>
        <item x="278"/>
        <item x="42"/>
        <item x="266"/>
        <item x="11"/>
        <item x="336"/>
        <item x="335"/>
        <item x="290"/>
        <item x="270"/>
        <item x="70"/>
        <item x="185"/>
        <item x="199"/>
        <item x="328"/>
        <item x="127"/>
        <item x="200"/>
        <item x="131"/>
        <item x="229"/>
        <item x="57"/>
        <item x="48"/>
        <item x="157"/>
        <item x="64"/>
        <item x="276"/>
        <item x="168"/>
        <item x="331"/>
        <item x="246"/>
        <item x="318"/>
        <item x="51"/>
        <item x="243"/>
        <item x="91"/>
        <item x="107"/>
        <item x="92"/>
        <item x="124"/>
        <item x="132"/>
        <item x="308"/>
        <item x="310"/>
        <item x="97"/>
        <item x="40"/>
        <item x="232"/>
        <item x="66"/>
        <item x="23"/>
        <item x="72"/>
        <item x="294"/>
        <item x="211"/>
        <item x="16"/>
        <item x="1"/>
        <item x="112"/>
        <item x="285"/>
        <item x="99"/>
        <item x="138"/>
        <item x="39"/>
        <item x="297"/>
        <item x="22"/>
        <item x="114"/>
        <item x="140"/>
        <item x="94"/>
        <item x="251"/>
        <item x="179"/>
        <item x="186"/>
        <item x="260"/>
        <item x="254"/>
        <item x="181"/>
        <item x="82"/>
        <item x="257"/>
        <item x="28"/>
        <item x="17"/>
        <item x="9"/>
        <item x="304"/>
        <item x="119"/>
        <item x="222"/>
        <item x="319"/>
        <item x="155"/>
        <item x="210"/>
        <item x="197"/>
        <item x="342"/>
        <item x="238"/>
        <item x="282"/>
        <item x="252"/>
        <item x="163"/>
        <item x="188"/>
        <item x="67"/>
        <item x="4"/>
        <item x="130"/>
        <item x="19"/>
        <item x="241"/>
        <item x="226"/>
        <item x="313"/>
        <item x="244"/>
        <item x="121"/>
        <item x="300"/>
        <item x="144"/>
        <item x="24"/>
        <item x="240"/>
        <item x="103"/>
        <item x="215"/>
        <item x="14"/>
        <item x="55"/>
        <item x="228"/>
        <item x="108"/>
        <item x="231"/>
        <item x="247"/>
        <item x="233"/>
        <item x="324"/>
        <item x="126"/>
        <item x="148"/>
        <item x="87"/>
        <item x="122"/>
        <item x="76"/>
        <item x="213"/>
        <item x="236"/>
        <item x="287"/>
        <item x="45"/>
        <item x="271"/>
        <item x="268"/>
        <item x="15"/>
        <item x="44"/>
        <item x="267"/>
        <item x="152"/>
        <item x="320"/>
        <item x="333"/>
        <item x="280"/>
        <item x="173"/>
        <item x="37"/>
        <item x="5"/>
        <item x="176"/>
        <item x="93"/>
        <item x="120"/>
        <item x="180"/>
        <item x="69"/>
        <item x="2"/>
        <item x="344"/>
        <item x="174"/>
        <item x="50"/>
        <item x="303"/>
        <item x="12"/>
        <item x="239"/>
        <item x="325"/>
        <item x="193"/>
        <item x="169"/>
        <item x="227"/>
        <item x="10"/>
        <item x="315"/>
        <item x="106"/>
        <item x="159"/>
        <item x="62"/>
        <item x="327"/>
        <item x="189"/>
        <item x="56"/>
        <item x="164"/>
        <item x="171"/>
        <item x="96"/>
        <item x="128"/>
        <item x="192"/>
        <item x="149"/>
        <item x="314"/>
        <item x="60"/>
        <item x="309"/>
        <item x="289"/>
        <item x="110"/>
        <item x="18"/>
        <item x="7"/>
        <item x="75"/>
        <item x="81"/>
        <item x="54"/>
        <item x="264"/>
        <item x="261"/>
        <item x="49"/>
        <item x="208"/>
        <item x="118"/>
        <item x="256"/>
        <item x="277"/>
        <item x="160"/>
        <item x="141"/>
        <item x="187"/>
        <item x="34"/>
        <item x="25"/>
        <item x="341"/>
        <item x="61"/>
        <item x="182"/>
        <item x="98"/>
        <item x="142"/>
        <item x="111"/>
        <item x="259"/>
        <item x="195"/>
        <item x="253"/>
        <item x="219"/>
        <item x="109"/>
        <item x="139"/>
        <item x="242"/>
        <item x="345"/>
        <item x="330"/>
        <item x="334"/>
        <item x="88"/>
        <item x="295"/>
        <item x="194"/>
        <item x="27"/>
        <item x="190"/>
        <item x="125"/>
        <item x="220"/>
        <item x="153"/>
        <item x="65"/>
        <item x="3"/>
        <item x="31"/>
        <item x="30"/>
        <item x="198"/>
        <item x="90"/>
        <item x="145"/>
        <item x="296"/>
        <item x="26"/>
        <item x="21"/>
        <item x="269"/>
        <item x="136"/>
        <item x="263"/>
        <item x="230"/>
        <item x="216"/>
        <item x="212"/>
        <item x="332"/>
        <item x="340"/>
        <item x="158"/>
        <item x="339"/>
        <item x="286"/>
        <item x="43"/>
        <item x="95"/>
        <item x="89"/>
        <item x="115"/>
        <item x="205"/>
        <item x="288"/>
        <item x="255"/>
        <item x="137"/>
        <item x="71"/>
        <item x="237"/>
        <item x="183"/>
        <item x="338"/>
        <item x="165"/>
        <item x="35"/>
        <item x="63"/>
        <item x="206"/>
        <item x="218"/>
        <item x="337"/>
        <item x="85"/>
        <item x="86"/>
        <item x="143"/>
        <item x="47"/>
        <item x="234"/>
        <item x="207"/>
        <item x="113"/>
        <item x="323"/>
        <item x="202"/>
        <item x="77"/>
        <item x="166"/>
        <item x="245"/>
        <item x="129"/>
        <item x="84"/>
        <item x="249"/>
        <item x="80"/>
        <item x="346"/>
        <item t="default"/>
      </items>
    </pivotField>
    <pivotField showAll="0">
      <items count="8">
        <item x="0"/>
        <item x="6"/>
        <item x="4"/>
        <item x="3"/>
        <item x="5"/>
        <item x="2"/>
        <item x="1"/>
        <item t="default"/>
      </items>
    </pivotField>
    <pivotField axis="axisRow" showAll="0">
      <items count="3">
        <item x="1"/>
        <item x="0"/>
        <item t="default"/>
      </items>
    </pivotField>
    <pivotField numFmtId="168" showAll="0"/>
    <pivotField showAll="0"/>
    <pivotField dataField="1" numFmtId="168" showAll="0"/>
    <pivotField showAll="0">
      <items count="4">
        <item x="1"/>
        <item x="2"/>
        <item x="0"/>
        <item t="default"/>
      </items>
    </pivotField>
    <pivotField showAll="0"/>
    <pivotField showAll="0">
      <items count="6">
        <item x="1"/>
        <item x="2"/>
        <item x="4"/>
        <item x="3"/>
        <item x="0"/>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3"/>
  </rowFields>
  <rowItems count="3">
    <i>
      <x/>
    </i>
    <i>
      <x v="1"/>
    </i>
    <i t="grand">
      <x/>
    </i>
  </rowItems>
  <colItems count="1">
    <i/>
  </colItems>
  <dataFields count="1">
    <dataField name="Sum of transaction_amount" fld="6" baseField="0" baseItem="0" numFmtId="168"/>
  </dataFields>
  <chartFormats count="2">
    <chartFormat chart="5" format="0" series="1">
      <pivotArea type="data" outline="0" fieldPosition="0">
        <references count="1">
          <reference field="4294967294" count="1" selected="0">
            <x v="0"/>
          </reference>
        </references>
      </pivotArea>
    </chartFormat>
    <chartFormat chart="8"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3BB43F1-B74E-4102-80F1-1CBDFB8C2C1A}" name="PivotTable4" cacheId="9"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7">
  <location ref="A28:B31" firstHeaderRow="1" firstDataRow="1" firstDataCol="1"/>
  <pivotFields count="13">
    <pivotField showAll="0"/>
    <pivotField numFmtId="14" showAll="0">
      <items count="349">
        <item x="311"/>
        <item x="283"/>
        <item x="235"/>
        <item x="214"/>
        <item x="58"/>
        <item x="298"/>
        <item x="105"/>
        <item x="284"/>
        <item x="104"/>
        <item x="156"/>
        <item x="316"/>
        <item x="13"/>
        <item x="279"/>
        <item x="167"/>
        <item x="175"/>
        <item x="161"/>
        <item x="134"/>
        <item x="307"/>
        <item x="196"/>
        <item x="312"/>
        <item x="150"/>
        <item x="101"/>
        <item x="204"/>
        <item x="146"/>
        <item x="262"/>
        <item x="329"/>
        <item x="326"/>
        <item x="178"/>
        <item x="272"/>
        <item x="293"/>
        <item x="6"/>
        <item x="273"/>
        <item x="162"/>
        <item x="29"/>
        <item x="41"/>
        <item x="83"/>
        <item x="38"/>
        <item x="317"/>
        <item x="301"/>
        <item x="79"/>
        <item x="78"/>
        <item x="36"/>
        <item x="59"/>
        <item x="46"/>
        <item x="123"/>
        <item x="225"/>
        <item x="305"/>
        <item x="147"/>
        <item x="248"/>
        <item x="32"/>
        <item x="306"/>
        <item x="68"/>
        <item x="224"/>
        <item x="20"/>
        <item x="250"/>
        <item x="203"/>
        <item x="73"/>
        <item x="299"/>
        <item x="265"/>
        <item x="133"/>
        <item x="217"/>
        <item x="321"/>
        <item x="275"/>
        <item x="172"/>
        <item x="322"/>
        <item x="258"/>
        <item x="102"/>
        <item x="8"/>
        <item x="53"/>
        <item x="116"/>
        <item x="281"/>
        <item x="347"/>
        <item x="117"/>
        <item x="209"/>
        <item x="291"/>
        <item x="177"/>
        <item x="184"/>
        <item x="135"/>
        <item x="292"/>
        <item x="221"/>
        <item x="151"/>
        <item x="170"/>
        <item x="201"/>
        <item x="191"/>
        <item x="343"/>
        <item x="154"/>
        <item x="52"/>
        <item x="33"/>
        <item x="0"/>
        <item x="274"/>
        <item x="302"/>
        <item x="100"/>
        <item x="74"/>
        <item x="223"/>
        <item x="278"/>
        <item x="42"/>
        <item x="266"/>
        <item x="11"/>
        <item x="336"/>
        <item x="335"/>
        <item x="290"/>
        <item x="270"/>
        <item x="70"/>
        <item x="185"/>
        <item x="199"/>
        <item x="328"/>
        <item x="127"/>
        <item x="200"/>
        <item x="131"/>
        <item x="229"/>
        <item x="57"/>
        <item x="48"/>
        <item x="157"/>
        <item x="64"/>
        <item x="276"/>
        <item x="168"/>
        <item x="331"/>
        <item x="246"/>
        <item x="318"/>
        <item x="51"/>
        <item x="243"/>
        <item x="91"/>
        <item x="107"/>
        <item x="92"/>
        <item x="124"/>
        <item x="132"/>
        <item x="308"/>
        <item x="310"/>
        <item x="97"/>
        <item x="40"/>
        <item x="232"/>
        <item x="66"/>
        <item x="23"/>
        <item x="72"/>
        <item x="294"/>
        <item x="211"/>
        <item x="16"/>
        <item x="1"/>
        <item x="112"/>
        <item x="285"/>
        <item x="99"/>
        <item x="138"/>
        <item x="39"/>
        <item x="297"/>
        <item x="22"/>
        <item x="114"/>
        <item x="140"/>
        <item x="94"/>
        <item x="251"/>
        <item x="179"/>
        <item x="186"/>
        <item x="260"/>
        <item x="254"/>
        <item x="181"/>
        <item x="82"/>
        <item x="257"/>
        <item x="28"/>
        <item x="17"/>
        <item x="9"/>
        <item x="304"/>
        <item x="119"/>
        <item x="222"/>
        <item x="319"/>
        <item x="155"/>
        <item x="210"/>
        <item x="197"/>
        <item x="342"/>
        <item x="238"/>
        <item x="282"/>
        <item x="252"/>
        <item x="163"/>
        <item x="188"/>
        <item x="67"/>
        <item x="4"/>
        <item x="130"/>
        <item x="19"/>
        <item x="241"/>
        <item x="226"/>
        <item x="313"/>
        <item x="244"/>
        <item x="121"/>
        <item x="300"/>
        <item x="144"/>
        <item x="24"/>
        <item x="240"/>
        <item x="103"/>
        <item x="215"/>
        <item x="14"/>
        <item x="55"/>
        <item x="228"/>
        <item x="108"/>
        <item x="231"/>
        <item x="247"/>
        <item x="233"/>
        <item x="324"/>
        <item x="126"/>
        <item x="148"/>
        <item x="87"/>
        <item x="122"/>
        <item x="76"/>
        <item x="213"/>
        <item x="236"/>
        <item x="287"/>
        <item x="45"/>
        <item x="271"/>
        <item x="268"/>
        <item x="15"/>
        <item x="44"/>
        <item x="267"/>
        <item x="152"/>
        <item x="320"/>
        <item x="333"/>
        <item x="280"/>
        <item x="173"/>
        <item x="37"/>
        <item x="5"/>
        <item x="176"/>
        <item x="93"/>
        <item x="120"/>
        <item x="180"/>
        <item x="69"/>
        <item x="2"/>
        <item x="344"/>
        <item x="174"/>
        <item x="50"/>
        <item x="303"/>
        <item x="12"/>
        <item x="239"/>
        <item x="325"/>
        <item x="193"/>
        <item x="169"/>
        <item x="227"/>
        <item x="10"/>
        <item x="315"/>
        <item x="106"/>
        <item x="159"/>
        <item x="62"/>
        <item x="327"/>
        <item x="189"/>
        <item x="56"/>
        <item x="164"/>
        <item x="171"/>
        <item x="96"/>
        <item x="128"/>
        <item x="192"/>
        <item x="149"/>
        <item x="314"/>
        <item x="60"/>
        <item x="309"/>
        <item x="289"/>
        <item x="110"/>
        <item x="18"/>
        <item x="7"/>
        <item x="75"/>
        <item x="81"/>
        <item x="54"/>
        <item x="264"/>
        <item x="261"/>
        <item x="49"/>
        <item x="208"/>
        <item x="118"/>
        <item x="256"/>
        <item x="277"/>
        <item x="160"/>
        <item x="141"/>
        <item x="187"/>
        <item x="34"/>
        <item x="25"/>
        <item x="341"/>
        <item x="61"/>
        <item x="182"/>
        <item x="98"/>
        <item x="142"/>
        <item x="111"/>
        <item x="259"/>
        <item x="195"/>
        <item x="253"/>
        <item x="219"/>
        <item x="109"/>
        <item x="139"/>
        <item x="242"/>
        <item x="345"/>
        <item x="330"/>
        <item x="334"/>
        <item x="88"/>
        <item x="295"/>
        <item x="194"/>
        <item x="27"/>
        <item x="190"/>
        <item x="125"/>
        <item x="220"/>
        <item x="153"/>
        <item x="65"/>
        <item x="3"/>
        <item x="31"/>
        <item x="30"/>
        <item x="198"/>
        <item x="90"/>
        <item x="145"/>
        <item x="296"/>
        <item x="26"/>
        <item x="21"/>
        <item x="269"/>
        <item x="136"/>
        <item x="263"/>
        <item x="230"/>
        <item x="216"/>
        <item x="212"/>
        <item x="332"/>
        <item x="340"/>
        <item x="158"/>
        <item x="339"/>
        <item x="286"/>
        <item x="43"/>
        <item x="95"/>
        <item x="89"/>
        <item x="115"/>
        <item x="205"/>
        <item x="288"/>
        <item x="255"/>
        <item x="137"/>
        <item x="71"/>
        <item x="237"/>
        <item x="183"/>
        <item x="338"/>
        <item x="165"/>
        <item x="35"/>
        <item x="63"/>
        <item x="206"/>
        <item x="218"/>
        <item x="337"/>
        <item x="85"/>
        <item x="86"/>
        <item x="143"/>
        <item x="47"/>
        <item x="234"/>
        <item x="207"/>
        <item x="113"/>
        <item x="323"/>
        <item x="202"/>
        <item x="77"/>
        <item x="166"/>
        <item x="245"/>
        <item x="129"/>
        <item x="84"/>
        <item x="249"/>
        <item x="80"/>
        <item x="346"/>
        <item t="default"/>
      </items>
    </pivotField>
    <pivotField showAll="0">
      <items count="8">
        <item x="0"/>
        <item x="6"/>
        <item x="4"/>
        <item x="3"/>
        <item x="5"/>
        <item x="2"/>
        <item x="1"/>
        <item t="default"/>
      </items>
    </pivotField>
    <pivotField axis="axisRow" showAll="0">
      <items count="3">
        <item x="1"/>
        <item x="0"/>
        <item t="default"/>
      </items>
    </pivotField>
    <pivotField numFmtId="168" showAll="0"/>
    <pivotField dataField="1" showAll="0"/>
    <pivotField numFmtId="168" showAll="0"/>
    <pivotField showAll="0">
      <items count="4">
        <item x="1"/>
        <item x="2"/>
        <item x="0"/>
        <item t="default"/>
      </items>
    </pivotField>
    <pivotField showAll="0"/>
    <pivotField showAll="0">
      <items count="6">
        <item x="1"/>
        <item x="2"/>
        <item x="4"/>
        <item x="3"/>
        <item x="0"/>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3"/>
  </rowFields>
  <rowItems count="3">
    <i>
      <x/>
    </i>
    <i>
      <x v="1"/>
    </i>
    <i t="grand">
      <x/>
    </i>
  </rowItems>
  <colItems count="1">
    <i/>
  </colItems>
  <dataFields count="1">
    <dataField name="Sum of quantity" fld="5" baseField="0" baseItem="0"/>
  </dataFields>
  <chartFormats count="5">
    <chartFormat chart="0" format="0"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6" format="4" series="1">
      <pivotArea type="data" outline="0" fieldPosition="0">
        <references count="1">
          <reference field="4294967294" count="1" selected="0">
            <x v="0"/>
          </reference>
        </references>
      </pivotArea>
    </chartFormat>
    <chartFormat chart="6" format="5">
      <pivotArea type="data" outline="0" fieldPosition="0">
        <references count="2">
          <reference field="4294967294" count="1" selected="0">
            <x v="0"/>
          </reference>
          <reference field="3" count="1" selected="0">
            <x v="0"/>
          </reference>
        </references>
      </pivotArea>
    </chartFormat>
    <chartFormat chart="6" format="6">
      <pivotArea type="data" outline="0" fieldPosition="0">
        <references count="2">
          <reference field="4294967294" count="1" selected="0">
            <x v="0"/>
          </reference>
          <reference field="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FE9045C-E65C-4649-9CEA-93B441D04058}" name="PivotTable3" cacheId="9"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5">
  <location ref="A15:B23" firstHeaderRow="1" firstDataRow="1" firstDataCol="1"/>
  <pivotFields count="13">
    <pivotField showAll="0"/>
    <pivotField numFmtId="14" showAll="0">
      <items count="349">
        <item x="311"/>
        <item x="283"/>
        <item x="235"/>
        <item x="214"/>
        <item x="58"/>
        <item x="298"/>
        <item x="105"/>
        <item x="284"/>
        <item x="104"/>
        <item x="156"/>
        <item x="316"/>
        <item x="13"/>
        <item x="279"/>
        <item x="167"/>
        <item x="175"/>
        <item x="161"/>
        <item x="134"/>
        <item x="307"/>
        <item x="196"/>
        <item x="312"/>
        <item x="150"/>
        <item x="101"/>
        <item x="204"/>
        <item x="146"/>
        <item x="262"/>
        <item x="329"/>
        <item x="326"/>
        <item x="178"/>
        <item x="272"/>
        <item x="293"/>
        <item x="6"/>
        <item x="273"/>
        <item x="162"/>
        <item x="29"/>
        <item x="41"/>
        <item x="83"/>
        <item x="38"/>
        <item x="317"/>
        <item x="301"/>
        <item x="79"/>
        <item x="78"/>
        <item x="36"/>
        <item x="59"/>
        <item x="46"/>
        <item x="123"/>
        <item x="225"/>
        <item x="305"/>
        <item x="147"/>
        <item x="248"/>
        <item x="32"/>
        <item x="306"/>
        <item x="68"/>
        <item x="224"/>
        <item x="20"/>
        <item x="250"/>
        <item x="203"/>
        <item x="73"/>
        <item x="299"/>
        <item x="265"/>
        <item x="133"/>
        <item x="217"/>
        <item x="321"/>
        <item x="275"/>
        <item x="172"/>
        <item x="322"/>
        <item x="258"/>
        <item x="102"/>
        <item x="8"/>
        <item x="53"/>
        <item x="116"/>
        <item x="281"/>
        <item x="347"/>
        <item x="117"/>
        <item x="209"/>
        <item x="291"/>
        <item x="177"/>
        <item x="184"/>
        <item x="135"/>
        <item x="292"/>
        <item x="221"/>
        <item x="151"/>
        <item x="170"/>
        <item x="201"/>
        <item x="191"/>
        <item x="343"/>
        <item x="154"/>
        <item x="52"/>
        <item x="33"/>
        <item x="0"/>
        <item x="274"/>
        <item x="302"/>
        <item x="100"/>
        <item x="74"/>
        <item x="223"/>
        <item x="278"/>
        <item x="42"/>
        <item x="266"/>
        <item x="11"/>
        <item x="336"/>
        <item x="335"/>
        <item x="290"/>
        <item x="270"/>
        <item x="70"/>
        <item x="185"/>
        <item x="199"/>
        <item x="328"/>
        <item x="127"/>
        <item x="200"/>
        <item x="131"/>
        <item x="229"/>
        <item x="57"/>
        <item x="48"/>
        <item x="157"/>
        <item x="64"/>
        <item x="276"/>
        <item x="168"/>
        <item x="331"/>
        <item x="246"/>
        <item x="318"/>
        <item x="51"/>
        <item x="243"/>
        <item x="91"/>
        <item x="107"/>
        <item x="92"/>
        <item x="124"/>
        <item x="132"/>
        <item x="308"/>
        <item x="310"/>
        <item x="97"/>
        <item x="40"/>
        <item x="232"/>
        <item x="66"/>
        <item x="23"/>
        <item x="72"/>
        <item x="294"/>
        <item x="211"/>
        <item x="16"/>
        <item x="1"/>
        <item x="112"/>
        <item x="285"/>
        <item x="99"/>
        <item x="138"/>
        <item x="39"/>
        <item x="297"/>
        <item x="22"/>
        <item x="114"/>
        <item x="140"/>
        <item x="94"/>
        <item x="251"/>
        <item x="179"/>
        <item x="186"/>
        <item x="260"/>
        <item x="254"/>
        <item x="181"/>
        <item x="82"/>
        <item x="257"/>
        <item x="28"/>
        <item x="17"/>
        <item x="9"/>
        <item x="304"/>
        <item x="119"/>
        <item x="222"/>
        <item x="319"/>
        <item x="155"/>
        <item x="210"/>
        <item x="197"/>
        <item x="342"/>
        <item x="238"/>
        <item x="282"/>
        <item x="252"/>
        <item x="163"/>
        <item x="188"/>
        <item x="67"/>
        <item x="4"/>
        <item x="130"/>
        <item x="19"/>
        <item x="241"/>
        <item x="226"/>
        <item x="313"/>
        <item x="244"/>
        <item x="121"/>
        <item x="300"/>
        <item x="144"/>
        <item x="24"/>
        <item x="240"/>
        <item x="103"/>
        <item x="215"/>
        <item x="14"/>
        <item x="55"/>
        <item x="228"/>
        <item x="108"/>
        <item x="231"/>
        <item x="247"/>
        <item x="233"/>
        <item x="324"/>
        <item x="126"/>
        <item x="148"/>
        <item x="87"/>
        <item x="122"/>
        <item x="76"/>
        <item x="213"/>
        <item x="236"/>
        <item x="287"/>
        <item x="45"/>
        <item x="271"/>
        <item x="268"/>
        <item x="15"/>
        <item x="44"/>
        <item x="267"/>
        <item x="152"/>
        <item x="320"/>
        <item x="333"/>
        <item x="280"/>
        <item x="173"/>
        <item x="37"/>
        <item x="5"/>
        <item x="176"/>
        <item x="93"/>
        <item x="120"/>
        <item x="180"/>
        <item x="69"/>
        <item x="2"/>
        <item x="344"/>
        <item x="174"/>
        <item x="50"/>
        <item x="303"/>
        <item x="12"/>
        <item x="239"/>
        <item x="325"/>
        <item x="193"/>
        <item x="169"/>
        <item x="227"/>
        <item x="10"/>
        <item x="315"/>
        <item x="106"/>
        <item x="159"/>
        <item x="62"/>
        <item x="327"/>
        <item x="189"/>
        <item x="56"/>
        <item x="164"/>
        <item x="171"/>
        <item x="96"/>
        <item x="128"/>
        <item x="192"/>
        <item x="149"/>
        <item x="314"/>
        <item x="60"/>
        <item x="309"/>
        <item x="289"/>
        <item x="110"/>
        <item x="18"/>
        <item x="7"/>
        <item x="75"/>
        <item x="81"/>
        <item x="54"/>
        <item x="264"/>
        <item x="261"/>
        <item x="49"/>
        <item x="208"/>
        <item x="118"/>
        <item x="256"/>
        <item x="277"/>
        <item x="160"/>
        <item x="141"/>
        <item x="187"/>
        <item x="34"/>
        <item x="25"/>
        <item x="341"/>
        <item x="61"/>
        <item x="182"/>
        <item x="98"/>
        <item x="142"/>
        <item x="111"/>
        <item x="259"/>
        <item x="195"/>
        <item x="253"/>
        <item x="219"/>
        <item x="109"/>
        <item x="139"/>
        <item x="242"/>
        <item x="345"/>
        <item x="330"/>
        <item x="334"/>
        <item x="88"/>
        <item x="295"/>
        <item x="194"/>
        <item x="27"/>
        <item x="190"/>
        <item x="125"/>
        <item x="220"/>
        <item x="153"/>
        <item x="65"/>
        <item x="3"/>
        <item x="31"/>
        <item x="30"/>
        <item x="198"/>
        <item x="90"/>
        <item x="145"/>
        <item x="296"/>
        <item x="26"/>
        <item x="21"/>
        <item x="269"/>
        <item x="136"/>
        <item x="263"/>
        <item x="230"/>
        <item x="216"/>
        <item x="212"/>
        <item x="332"/>
        <item x="340"/>
        <item x="158"/>
        <item x="339"/>
        <item x="286"/>
        <item x="43"/>
        <item x="95"/>
        <item x="89"/>
        <item x="115"/>
        <item x="205"/>
        <item x="288"/>
        <item x="255"/>
        <item x="137"/>
        <item x="71"/>
        <item x="237"/>
        <item x="183"/>
        <item x="338"/>
        <item x="165"/>
        <item x="35"/>
        <item x="63"/>
        <item x="206"/>
        <item x="218"/>
        <item x="337"/>
        <item x="85"/>
        <item x="86"/>
        <item x="143"/>
        <item x="47"/>
        <item x="234"/>
        <item x="207"/>
        <item x="113"/>
        <item x="323"/>
        <item x="202"/>
        <item x="77"/>
        <item x="166"/>
        <item x="245"/>
        <item x="129"/>
        <item x="84"/>
        <item x="249"/>
        <item x="80"/>
        <item x="346"/>
        <item t="default"/>
      </items>
    </pivotField>
    <pivotField axis="axisRow" showAll="0">
      <items count="8">
        <item x="0"/>
        <item x="6"/>
        <item x="4"/>
        <item x="3"/>
        <item x="5"/>
        <item x="2"/>
        <item x="1"/>
        <item t="default"/>
      </items>
    </pivotField>
    <pivotField showAll="0">
      <items count="3">
        <item x="1"/>
        <item x="0"/>
        <item t="default"/>
      </items>
    </pivotField>
    <pivotField numFmtId="168" showAll="0"/>
    <pivotField dataField="1" showAll="0"/>
    <pivotField numFmtId="168" showAll="0"/>
    <pivotField showAll="0">
      <items count="4">
        <item x="1"/>
        <item x="2"/>
        <item x="0"/>
        <item t="default"/>
      </items>
    </pivotField>
    <pivotField showAll="0"/>
    <pivotField showAll="0">
      <items count="6">
        <item x="1"/>
        <item x="2"/>
        <item x="4"/>
        <item x="3"/>
        <item x="0"/>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2"/>
  </rowFields>
  <rowItems count="8">
    <i>
      <x/>
    </i>
    <i>
      <x v="1"/>
    </i>
    <i>
      <x v="2"/>
    </i>
    <i>
      <x v="3"/>
    </i>
    <i>
      <x v="4"/>
    </i>
    <i>
      <x v="5"/>
    </i>
    <i>
      <x v="6"/>
    </i>
    <i t="grand">
      <x/>
    </i>
  </rowItems>
  <colItems count="1">
    <i/>
  </colItems>
  <dataFields count="1">
    <dataField name="Sum of quantity" fld="5" baseField="0" baseItem="0"/>
  </dataFields>
  <chartFormats count="9">
    <chartFormat chart="0" format="0" series="1">
      <pivotArea type="data" outline="0" fieldPosition="0">
        <references count="1">
          <reference field="4294967294" count="1" selected="0">
            <x v="0"/>
          </reference>
        </references>
      </pivotArea>
    </chartFormat>
    <chartFormat chart="4" format="9" series="1">
      <pivotArea type="data" outline="0" fieldPosition="0">
        <references count="1">
          <reference field="4294967294" count="1" selected="0">
            <x v="0"/>
          </reference>
        </references>
      </pivotArea>
    </chartFormat>
    <chartFormat chart="4" format="10">
      <pivotArea type="data" outline="0" fieldPosition="0">
        <references count="2">
          <reference field="4294967294" count="1" selected="0">
            <x v="0"/>
          </reference>
          <reference field="2" count="1" selected="0">
            <x v="0"/>
          </reference>
        </references>
      </pivotArea>
    </chartFormat>
    <chartFormat chart="4" format="11">
      <pivotArea type="data" outline="0" fieldPosition="0">
        <references count="2">
          <reference field="4294967294" count="1" selected="0">
            <x v="0"/>
          </reference>
          <reference field="2" count="1" selected="0">
            <x v="1"/>
          </reference>
        </references>
      </pivotArea>
    </chartFormat>
    <chartFormat chart="4" format="12">
      <pivotArea type="data" outline="0" fieldPosition="0">
        <references count="2">
          <reference field="4294967294" count="1" selected="0">
            <x v="0"/>
          </reference>
          <reference field="2" count="1" selected="0">
            <x v="2"/>
          </reference>
        </references>
      </pivotArea>
    </chartFormat>
    <chartFormat chart="4" format="13">
      <pivotArea type="data" outline="0" fieldPosition="0">
        <references count="2">
          <reference field="4294967294" count="1" selected="0">
            <x v="0"/>
          </reference>
          <reference field="2" count="1" selected="0">
            <x v="3"/>
          </reference>
        </references>
      </pivotArea>
    </chartFormat>
    <chartFormat chart="4" format="14">
      <pivotArea type="data" outline="0" fieldPosition="0">
        <references count="2">
          <reference field="4294967294" count="1" selected="0">
            <x v="0"/>
          </reference>
          <reference field="2" count="1" selected="0">
            <x v="4"/>
          </reference>
        </references>
      </pivotArea>
    </chartFormat>
    <chartFormat chart="4" format="15">
      <pivotArea type="data" outline="0" fieldPosition="0">
        <references count="2">
          <reference field="4294967294" count="1" selected="0">
            <x v="0"/>
          </reference>
          <reference field="2" count="1" selected="0">
            <x v="5"/>
          </reference>
        </references>
      </pivotArea>
    </chartFormat>
    <chartFormat chart="4" format="16">
      <pivotArea type="data" outline="0" fieldPosition="0">
        <references count="2">
          <reference field="4294967294" count="1" selected="0">
            <x v="0"/>
          </reference>
          <reference field="2" count="1" selected="0">
            <x v="6"/>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8D17DDF-8355-4EE3-A1FF-32B1CE506C70}" name="PivotTable1" cacheId="9"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A3:A4" firstHeaderRow="1" firstDataRow="1" firstDataCol="0"/>
  <pivotFields count="13">
    <pivotField showAll="0"/>
    <pivotField numFmtId="14" showAll="0">
      <items count="349">
        <item x="311"/>
        <item x="283"/>
        <item x="235"/>
        <item x="214"/>
        <item x="58"/>
        <item x="298"/>
        <item x="105"/>
        <item x="284"/>
        <item x="104"/>
        <item x="156"/>
        <item x="316"/>
        <item x="13"/>
        <item x="279"/>
        <item x="167"/>
        <item x="175"/>
        <item x="161"/>
        <item x="134"/>
        <item x="307"/>
        <item x="196"/>
        <item x="312"/>
        <item x="150"/>
        <item x="101"/>
        <item x="204"/>
        <item x="146"/>
        <item x="262"/>
        <item x="329"/>
        <item x="326"/>
        <item x="178"/>
        <item x="272"/>
        <item x="293"/>
        <item x="6"/>
        <item x="273"/>
        <item x="162"/>
        <item x="29"/>
        <item x="41"/>
        <item x="83"/>
        <item x="38"/>
        <item x="317"/>
        <item x="301"/>
        <item x="79"/>
        <item x="78"/>
        <item x="36"/>
        <item x="59"/>
        <item x="46"/>
        <item x="123"/>
        <item x="225"/>
        <item x="305"/>
        <item x="147"/>
        <item x="248"/>
        <item x="32"/>
        <item x="306"/>
        <item x="68"/>
        <item x="224"/>
        <item x="20"/>
        <item x="250"/>
        <item x="203"/>
        <item x="73"/>
        <item x="299"/>
        <item x="265"/>
        <item x="133"/>
        <item x="217"/>
        <item x="321"/>
        <item x="275"/>
        <item x="172"/>
        <item x="322"/>
        <item x="258"/>
        <item x="102"/>
        <item x="8"/>
        <item x="53"/>
        <item x="116"/>
        <item x="281"/>
        <item x="347"/>
        <item x="117"/>
        <item x="209"/>
        <item x="291"/>
        <item x="177"/>
        <item x="184"/>
        <item x="135"/>
        <item x="292"/>
        <item x="221"/>
        <item x="151"/>
        <item x="170"/>
        <item x="201"/>
        <item x="191"/>
        <item x="343"/>
        <item x="154"/>
        <item x="52"/>
        <item x="33"/>
        <item x="0"/>
        <item x="274"/>
        <item x="302"/>
        <item x="100"/>
        <item x="74"/>
        <item x="223"/>
        <item x="278"/>
        <item x="42"/>
        <item x="266"/>
        <item x="11"/>
        <item x="336"/>
        <item x="335"/>
        <item x="290"/>
        <item x="270"/>
        <item x="70"/>
        <item x="185"/>
        <item x="199"/>
        <item x="328"/>
        <item x="127"/>
        <item x="200"/>
        <item x="131"/>
        <item x="229"/>
        <item x="57"/>
        <item x="48"/>
        <item x="157"/>
        <item x="64"/>
        <item x="276"/>
        <item x="168"/>
        <item x="331"/>
        <item x="246"/>
        <item x="318"/>
        <item x="51"/>
        <item x="243"/>
        <item x="91"/>
        <item x="107"/>
        <item x="92"/>
        <item x="124"/>
        <item x="132"/>
        <item x="308"/>
        <item x="310"/>
        <item x="97"/>
        <item x="40"/>
        <item x="232"/>
        <item x="66"/>
        <item x="23"/>
        <item x="72"/>
        <item x="294"/>
        <item x="211"/>
        <item x="16"/>
        <item x="1"/>
        <item x="112"/>
        <item x="285"/>
        <item x="99"/>
        <item x="138"/>
        <item x="39"/>
        <item x="297"/>
        <item x="22"/>
        <item x="114"/>
        <item x="140"/>
        <item x="94"/>
        <item x="251"/>
        <item x="179"/>
        <item x="186"/>
        <item x="260"/>
        <item x="254"/>
        <item x="181"/>
        <item x="82"/>
        <item x="257"/>
        <item x="28"/>
        <item x="17"/>
        <item x="9"/>
        <item x="304"/>
        <item x="119"/>
        <item x="222"/>
        <item x="319"/>
        <item x="155"/>
        <item x="210"/>
        <item x="197"/>
        <item x="342"/>
        <item x="238"/>
        <item x="282"/>
        <item x="252"/>
        <item x="163"/>
        <item x="188"/>
        <item x="67"/>
        <item x="4"/>
        <item x="130"/>
        <item x="19"/>
        <item x="241"/>
        <item x="226"/>
        <item x="313"/>
        <item x="244"/>
        <item x="121"/>
        <item x="300"/>
        <item x="144"/>
        <item x="24"/>
        <item x="240"/>
        <item x="103"/>
        <item x="215"/>
        <item x="14"/>
        <item x="55"/>
        <item x="228"/>
        <item x="108"/>
        <item x="231"/>
        <item x="247"/>
        <item x="233"/>
        <item x="324"/>
        <item x="126"/>
        <item x="148"/>
        <item x="87"/>
        <item x="122"/>
        <item x="76"/>
        <item x="213"/>
        <item x="236"/>
        <item x="287"/>
        <item x="45"/>
        <item x="271"/>
        <item x="268"/>
        <item x="15"/>
        <item x="44"/>
        <item x="267"/>
        <item x="152"/>
        <item x="320"/>
        <item x="333"/>
        <item x="280"/>
        <item x="173"/>
        <item x="37"/>
        <item x="5"/>
        <item x="176"/>
        <item x="93"/>
        <item x="120"/>
        <item x="180"/>
        <item x="69"/>
        <item x="2"/>
        <item x="344"/>
        <item x="174"/>
        <item x="50"/>
        <item x="303"/>
        <item x="12"/>
        <item x="239"/>
        <item x="325"/>
        <item x="193"/>
        <item x="169"/>
        <item x="227"/>
        <item x="10"/>
        <item x="315"/>
        <item x="106"/>
        <item x="159"/>
        <item x="62"/>
        <item x="327"/>
        <item x="189"/>
        <item x="56"/>
        <item x="164"/>
        <item x="171"/>
        <item x="96"/>
        <item x="128"/>
        <item x="192"/>
        <item x="149"/>
        <item x="314"/>
        <item x="60"/>
        <item x="309"/>
        <item x="289"/>
        <item x="110"/>
        <item x="18"/>
        <item x="7"/>
        <item x="75"/>
        <item x="81"/>
        <item x="54"/>
        <item x="264"/>
        <item x="261"/>
        <item x="49"/>
        <item x="208"/>
        <item x="118"/>
        <item x="256"/>
        <item x="277"/>
        <item x="160"/>
        <item x="141"/>
        <item x="187"/>
        <item x="34"/>
        <item x="25"/>
        <item x="341"/>
        <item x="61"/>
        <item x="182"/>
        <item x="98"/>
        <item x="142"/>
        <item x="111"/>
        <item x="259"/>
        <item x="195"/>
        <item x="253"/>
        <item x="219"/>
        <item x="109"/>
        <item x="139"/>
        <item x="242"/>
        <item x="345"/>
        <item x="330"/>
        <item x="334"/>
        <item x="88"/>
        <item x="295"/>
        <item x="194"/>
        <item x="27"/>
        <item x="190"/>
        <item x="125"/>
        <item x="220"/>
        <item x="153"/>
        <item x="65"/>
        <item x="3"/>
        <item x="31"/>
        <item x="30"/>
        <item x="198"/>
        <item x="90"/>
        <item x="145"/>
        <item x="296"/>
        <item x="26"/>
        <item x="21"/>
        <item x="269"/>
        <item x="136"/>
        <item x="263"/>
        <item x="230"/>
        <item x="216"/>
        <item x="212"/>
        <item x="332"/>
        <item x="340"/>
        <item x="158"/>
        <item x="339"/>
        <item x="286"/>
        <item x="43"/>
        <item x="95"/>
        <item x="89"/>
        <item x="115"/>
        <item x="205"/>
        <item x="288"/>
        <item x="255"/>
        <item x="137"/>
        <item x="71"/>
        <item x="237"/>
        <item x="183"/>
        <item x="338"/>
        <item x="165"/>
        <item x="35"/>
        <item x="63"/>
        <item x="206"/>
        <item x="218"/>
        <item x="337"/>
        <item x="85"/>
        <item x="86"/>
        <item x="143"/>
        <item x="47"/>
        <item x="234"/>
        <item x="207"/>
        <item x="113"/>
        <item x="323"/>
        <item x="202"/>
        <item x="77"/>
        <item x="166"/>
        <item x="245"/>
        <item x="129"/>
        <item x="84"/>
        <item x="249"/>
        <item x="80"/>
        <item x="346"/>
        <item t="default"/>
      </items>
    </pivotField>
    <pivotField showAll="0">
      <items count="8">
        <item x="0"/>
        <item x="6"/>
        <item x="4"/>
        <item x="3"/>
        <item x="5"/>
        <item x="2"/>
        <item x="1"/>
        <item t="default"/>
      </items>
    </pivotField>
    <pivotField showAll="0">
      <items count="3">
        <item x="1"/>
        <item x="0"/>
        <item t="default"/>
      </items>
    </pivotField>
    <pivotField numFmtId="168" showAll="0"/>
    <pivotField showAll="0"/>
    <pivotField dataField="1" numFmtId="168" showAll="0"/>
    <pivotField showAll="0">
      <items count="4">
        <item x="1"/>
        <item x="2"/>
        <item x="0"/>
        <item t="default"/>
      </items>
    </pivotField>
    <pivotField showAll="0"/>
    <pivotField showAll="0">
      <items count="6">
        <item x="1"/>
        <item x="2"/>
        <item x="4"/>
        <item x="3"/>
        <item x="0"/>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Items count="1">
    <i/>
  </rowItems>
  <colItems count="1">
    <i/>
  </colItems>
  <dataFields count="1">
    <dataField name="Sum of transaction_amount" fld="6" baseField="0" baseItem="0" numFmtId="168"/>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tem_name" xr10:uid="{DB1365B2-AFBF-4CAF-AF0F-6823B1C4EABE}" sourceName="item_name">
  <pivotTables>
    <pivotTable tabId="2" name="PivotTable3"/>
    <pivotTable tabId="2" name="PivotTable1"/>
    <pivotTable tabId="2" name="PivotTable4"/>
    <pivotTable tabId="2" name="PivotTable5"/>
    <pivotTable tabId="2" name="PivotTable6"/>
    <pivotTable tabId="2" name="PivotTable7"/>
    <pivotTable tabId="2" name="PivotTable8"/>
    <pivotTable tabId="2" name="PivotTable9"/>
    <pivotTable tabId="3" name="PivotTable2"/>
  </pivotTables>
  <data>
    <tabular pivotCacheId="699106730">
      <items count="7">
        <i x="0" s="1"/>
        <i x="6" s="1"/>
        <i x="4" s="1"/>
        <i x="3" s="1"/>
        <i x="5" s="1"/>
        <i x="2"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tem_type" xr10:uid="{82653F01-2FFB-4902-BA64-E096DF9DB49B}" sourceName="item_type">
  <pivotTables>
    <pivotTable tabId="2" name="PivotTable3"/>
    <pivotTable tabId="2" name="PivotTable1"/>
    <pivotTable tabId="2" name="PivotTable4"/>
    <pivotTable tabId="2" name="PivotTable5"/>
    <pivotTable tabId="2" name="PivotTable6"/>
    <pivotTable tabId="2" name="PivotTable7"/>
    <pivotTable tabId="2" name="PivotTable8"/>
    <pivotTable tabId="2" name="PivotTable9"/>
    <pivotTable tabId="3" name="PivotTable2"/>
  </pivotTables>
  <data>
    <tabular pivotCacheId="699106730">
      <items count="2">
        <i x="1"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ransaction_type" xr10:uid="{BA0737B0-D6AF-4C41-8B41-D5D24D8B2BF3}" sourceName="transaction_type">
  <pivotTables>
    <pivotTable tabId="2" name="PivotTable3"/>
    <pivotTable tabId="2" name="PivotTable1"/>
    <pivotTable tabId="2" name="PivotTable4"/>
    <pivotTable tabId="2" name="PivotTable5"/>
    <pivotTable tabId="2" name="PivotTable6"/>
    <pivotTable tabId="2" name="PivotTable7"/>
    <pivotTable tabId="2" name="PivotTable8"/>
    <pivotTable tabId="2" name="PivotTable9"/>
    <pivotTable tabId="3" name="PivotTable2"/>
  </pivotTables>
  <data>
    <tabular pivotCacheId="699106730">
      <items count="3">
        <i x="1" s="1"/>
        <i x="2" s="1"/>
        <i x="0"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ime_of_sale" xr10:uid="{B6FB75B5-26F4-4AAF-8799-D4786E08737D}" sourceName="time_of_sale">
  <pivotTables>
    <pivotTable tabId="2" name="PivotTable3"/>
    <pivotTable tabId="2" name="PivotTable1"/>
    <pivotTable tabId="2" name="PivotTable4"/>
    <pivotTable tabId="2" name="PivotTable5"/>
    <pivotTable tabId="2" name="PivotTable6"/>
    <pivotTable tabId="2" name="PivotTable7"/>
    <pivotTable tabId="2" name="PivotTable8"/>
    <pivotTable tabId="2" name="PivotTable9"/>
    <pivotTable tabId="3" name="PivotTable2"/>
  </pivotTables>
  <data>
    <tabular pivotCacheId="699106730">
      <items count="5">
        <i x="1" s="1"/>
        <i x="2" s="1"/>
        <i x="4" s="1"/>
        <i x="3"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item_name" xr10:uid="{2F4CF34A-4982-47A5-A71E-3DF9406EE1FE}" cache="Slicer_item_name" caption="item_name" rowHeight="241300"/>
  <slicer name="item_type" xr10:uid="{450F30B4-7AC3-42FE-96F2-5552312A765C}" cache="Slicer_item_type" caption="item_type" rowHeight="241300"/>
  <slicer name="transaction_type" xr10:uid="{971D24B2-3F6F-4077-B9F4-29901B1436DC}" cache="Slicer_transaction_type" caption="transaction_type" rowHeight="241300"/>
  <slicer name="time_of_sale" xr10:uid="{DC2D3E0A-8C05-40D6-8922-7F7E69C08104}" cache="Slicer_time_of_sale" caption="time_of_sale"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59EA923-D82D-4477-BC22-405F4AA22C83}" name="Table1" displayName="Table1" ref="A1:J1001" totalsRowShown="0" headerRowDxfId="0" headerRowBorderDxfId="4" tableBorderDxfId="5">
  <autoFilter ref="A1:J1001" xr:uid="{959EA923-D82D-4477-BC22-405F4AA22C83}"/>
  <tableColumns count="10">
    <tableColumn id="1" xr3:uid="{50042809-ABDA-4D05-8E57-EE84E36174D0}" name="order_id"/>
    <tableColumn id="2" xr3:uid="{BEB98140-2483-4F2B-8A57-B5E65E245BA8}" name="order_date" dataDxfId="3"/>
    <tableColumn id="3" xr3:uid="{B7811FDD-3A23-4425-9A64-6219C969FDC3}" name="item_name"/>
    <tableColumn id="4" xr3:uid="{2692304F-4BBC-4444-9CB6-6552811977BA}" name="item_type"/>
    <tableColumn id="5" xr3:uid="{4607739B-7E6B-4D63-BE1E-91A0A0B881E5}" name="item_price" dataDxfId="2"/>
    <tableColumn id="6" xr3:uid="{2AE8B999-00F4-4BFF-86FC-36DEFFCA2D83}" name="quantity"/>
    <tableColumn id="7" xr3:uid="{91FF6AB0-70DE-4871-AD64-CE1DB046B67B}" name="transaction_amount" dataDxfId="1"/>
    <tableColumn id="8" xr3:uid="{B530FE0E-B490-4D0D-8004-79BE07CB9FB2}" name="transaction_type"/>
    <tableColumn id="9" xr3:uid="{8B8EDC23-62D0-4D5A-AC41-9B803F062FE1}" name="received_by"/>
    <tableColumn id="10" xr3:uid="{B2C7818F-708A-4450-8E2B-2D1E6874422A}" name="time_of_sale"/>
  </tableColumns>
  <tableStyleInfo name="TableStyleMedium9" showFirstColumn="0" showLastColumn="0" showRowStripes="1" showColumnStripes="0"/>
</table>
</file>

<file path=xl/theme/_rels/theme1.xml.rels><?xml version="1.0" encoding="UTF-8" standalone="yes"?>
<Relationships xmlns="http://schemas.openxmlformats.org/package/2006/relationships"><Relationship Id="rId2" Type="http://schemas.openxmlformats.org/officeDocument/2006/relationships/image" Target="../media/image2.jpeg"/><Relationship Id="rId1" Type="http://schemas.openxmlformats.org/officeDocument/2006/relationships/image" Target="../media/image1.jpeg"/></Relationships>
</file>

<file path=xl/theme/theme1.xml><?xml version="1.0" encoding="utf-8"?>
<a:theme xmlns:a="http://schemas.openxmlformats.org/drawingml/2006/main" name="Organic">
  <a:themeElements>
    <a:clrScheme name="Organic">
      <a:dk1>
        <a:sysClr val="windowText" lastClr="000000"/>
      </a:dk1>
      <a:lt1>
        <a:sysClr val="window" lastClr="FFFFFF"/>
      </a:lt1>
      <a:dk2>
        <a:srgbClr val="212121"/>
      </a:dk2>
      <a:lt2>
        <a:srgbClr val="DADADA"/>
      </a:lt2>
      <a:accent1>
        <a:srgbClr val="83992A"/>
      </a:accent1>
      <a:accent2>
        <a:srgbClr val="3C9770"/>
      </a:accent2>
      <a:accent3>
        <a:srgbClr val="44709D"/>
      </a:accent3>
      <a:accent4>
        <a:srgbClr val="A23C33"/>
      </a:accent4>
      <a:accent5>
        <a:srgbClr val="D97828"/>
      </a:accent5>
      <a:accent6>
        <a:srgbClr val="DEB340"/>
      </a:accent6>
      <a:hlink>
        <a:srgbClr val="A8BF4D"/>
      </a:hlink>
      <a:folHlink>
        <a:srgbClr val="B4CA80"/>
      </a:folHlink>
    </a:clrScheme>
    <a:fontScheme name="Organic">
      <a:majorFont>
        <a:latin typeface="Garamond" panose="02020404030301010803"/>
        <a:ea typeface=""/>
        <a:cs typeface=""/>
        <a:font script="Jpan" typeface="ＭＳ Ｐゴシック"/>
        <a:font script="Hang" typeface="돋움"/>
        <a:font script="Hans" typeface="方正舒体"/>
        <a:font script="Hant" typeface="微軟正黑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ajorFont>
      <a:minorFont>
        <a:latin typeface="Garamond" panose="02020404030301010803"/>
        <a:ea typeface=""/>
        <a:cs typeface=""/>
        <a:font script="Jpan" typeface="ＭＳ Ｐ明朝"/>
        <a:font script="Hang" typeface="바탕"/>
        <a:font script="Hans" typeface="方正舒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inorFont>
    </a:fontScheme>
    <a:fmtScheme name="Organic">
      <a:fillStyleLst>
        <a:solidFill>
          <a:schemeClr val="phClr"/>
        </a:solidFill>
        <a:gradFill rotWithShape="1">
          <a:gsLst>
            <a:gs pos="0">
              <a:schemeClr val="phClr">
                <a:tint val="60000"/>
                <a:lumMod val="110000"/>
              </a:schemeClr>
            </a:gs>
            <a:gs pos="100000">
              <a:schemeClr val="phClr">
                <a:tint val="82000"/>
              </a:schemeClr>
            </a:gs>
          </a:gsLst>
          <a:lin ang="5400000" scaled="0"/>
        </a:gradFill>
        <a:blipFill>
          <a:blip xmlns:r="http://schemas.openxmlformats.org/officeDocument/2006/relationships" r:embed="rId1">
            <a:duotone>
              <a:schemeClr val="phClr">
                <a:shade val="74000"/>
                <a:satMod val="130000"/>
                <a:lumMod val="90000"/>
              </a:schemeClr>
              <a:schemeClr val="phClr">
                <a:tint val="94000"/>
                <a:satMod val="120000"/>
                <a:lumMod val="104000"/>
              </a:schemeClr>
            </a:duotone>
          </a:blip>
          <a:tile tx="0" ty="0" sx="100000" sy="100000" flip="none" algn="tl"/>
        </a:blipFill>
      </a:fillStyleLst>
      <a:lnStyleLst>
        <a:ln w="9525" cap="flat" cmpd="sng" algn="ctr">
          <a:solidFill>
            <a:schemeClr val="phClr"/>
          </a:solidFill>
          <a:prstDash val="solid"/>
        </a:ln>
        <a:ln w="15875" cap="flat" cmpd="sng" algn="ctr">
          <a:solidFill>
            <a:schemeClr val="phClr"/>
          </a:solidFill>
          <a:prstDash val="solid"/>
        </a:ln>
        <a:ln w="25400" cap="flat" cmpd="sng" algn="ctr">
          <a:solidFill>
            <a:schemeClr val="phClr"/>
          </a:solidFill>
          <a:prstDash val="solid"/>
        </a:ln>
      </a:lnStyleLst>
      <a:effectStyleLst>
        <a:effectStyle>
          <a:effectLst/>
        </a:effectStyle>
        <a:effectStyle>
          <a:effectLst>
            <a:innerShdw blurRad="25400" dist="12700" dir="13500000">
              <a:srgbClr val="000000">
                <a:alpha val="45000"/>
              </a:srgbClr>
            </a:innerShdw>
          </a:effectLst>
        </a:effectStyle>
        <a:effectStyle>
          <a:effectLst>
            <a:outerShdw blurRad="38100" dist="25400" dir="5400000" rotWithShape="0">
              <a:srgbClr val="000000">
                <a:alpha val="60000"/>
              </a:srgbClr>
            </a:outerShdw>
          </a:effectLst>
        </a:effectStyle>
      </a:effectStyleLst>
      <a:bgFillStyleLst>
        <a:solidFill>
          <a:schemeClr val="phClr"/>
        </a:solidFill>
        <a:gradFill rotWithShape="1">
          <a:gsLst>
            <a:gs pos="0">
              <a:schemeClr val="phClr">
                <a:tint val="90000"/>
                <a:lumMod val="110000"/>
              </a:schemeClr>
            </a:gs>
            <a:gs pos="100000">
              <a:schemeClr val="phClr">
                <a:shade val="88000"/>
                <a:lumMod val="98000"/>
              </a:schemeClr>
            </a:gs>
          </a:gsLst>
          <a:lin ang="5400000" scaled="0"/>
        </a:gradFill>
        <a:blipFill>
          <a:blip xmlns:r="http://schemas.openxmlformats.org/officeDocument/2006/relationships" r:embed="rId2"/>
          <a:stretch/>
        </a:blipFill>
      </a:bgFillStyleLst>
    </a:fmtScheme>
  </a:themeElements>
  <a:objectDefaults/>
  <a:extraClrSchemeLst/>
  <a:extLst>
    <a:ext uri="{05A4C25C-085E-4340-85A3-A5531E510DB2}">
      <thm15:themeFamily xmlns:thm15="http://schemas.microsoft.com/office/thememl/2012/main" name="Organic" id="{28CDC826-8792-45C0-861B-85EB3ADEDA33}" vid="{7DAC20F1-423D-49E2-BD0B-50532748BAD0}"/>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order_date" xr10:uid="{A0D81BA5-46A8-4445-997F-70DEA9D9941E}" sourceName="order_date">
  <pivotTables>
    <pivotTable tabId="2" name="PivotTable3"/>
    <pivotTable tabId="2" name="PivotTable1"/>
    <pivotTable tabId="2" name="PivotTable4"/>
    <pivotTable tabId="2" name="PivotTable5"/>
    <pivotTable tabId="2" name="PivotTable6"/>
    <pivotTable tabId="2" name="PivotTable7"/>
    <pivotTable tabId="2" name="PivotTable8"/>
    <pivotTable tabId="2" name="PivotTable9"/>
    <pivotTable tabId="3" name="PivotTable2"/>
  </pivotTables>
  <state minimalRefreshVersion="6" lastRefreshVersion="6" pivotCacheId="699106730" filterType="unknown">
    <bounds startDate="2022-01-01T00:00:00" endDate="2024-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order_date" xr10:uid="{0144A92B-F95B-437E-B1D9-388DDEFC4531}" cache="NativeTimeline_order_date" caption="order_date" showHorizontalScrollbar="0" level="2" selectionLevel="2" scrollPosition="2022-01-01T00:00:00"/>
</timeline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8" Type="http://schemas.openxmlformats.org/officeDocument/2006/relationships/pivotTable" Target="../pivotTables/pivotTable9.xml"/><Relationship Id="rId3" Type="http://schemas.openxmlformats.org/officeDocument/2006/relationships/pivotTable" Target="../pivotTables/pivotTable4.xml"/><Relationship Id="rId7" Type="http://schemas.openxmlformats.org/officeDocument/2006/relationships/pivotTable" Target="../pivotTables/pivotTable8.xml"/><Relationship Id="rId2" Type="http://schemas.openxmlformats.org/officeDocument/2006/relationships/pivotTable" Target="../pivotTables/pivotTable3.xml"/><Relationship Id="rId1" Type="http://schemas.openxmlformats.org/officeDocument/2006/relationships/pivotTable" Target="../pivotTables/pivotTable2.xml"/><Relationship Id="rId6" Type="http://schemas.openxmlformats.org/officeDocument/2006/relationships/pivotTable" Target="../pivotTables/pivotTable7.xml"/><Relationship Id="rId5" Type="http://schemas.openxmlformats.org/officeDocument/2006/relationships/pivotTable" Target="../pivotTables/pivotTable6.xml"/><Relationship Id="rId4" Type="http://schemas.openxmlformats.org/officeDocument/2006/relationships/pivotTable" Target="../pivotTables/pivotTable5.xml"/><Relationship Id="rId9"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001"/>
  <sheetViews>
    <sheetView topLeftCell="A2" workbookViewId="0">
      <selection sqref="A1:J1001"/>
    </sheetView>
  </sheetViews>
  <sheetFormatPr defaultRowHeight="14.5" x14ac:dyDescent="0.35"/>
  <cols>
    <col min="1" max="1" width="10.09765625" customWidth="1"/>
    <col min="2" max="2" width="14.19921875" customWidth="1"/>
    <col min="3" max="3" width="12.3984375" customWidth="1"/>
    <col min="4" max="4" width="11.3984375" customWidth="1"/>
    <col min="5" max="5" width="11.796875" customWidth="1"/>
    <col min="6" max="6" width="10" customWidth="1"/>
    <col min="7" max="7" width="20.09765625" customWidth="1"/>
    <col min="8" max="8" width="17.19921875" customWidth="1"/>
    <col min="9" max="9" width="12.8984375" customWidth="1"/>
    <col min="10" max="10" width="13.69921875" customWidth="1"/>
  </cols>
  <sheetData>
    <row r="1" spans="1:10" x14ac:dyDescent="0.35">
      <c r="A1" s="3" t="s">
        <v>0</v>
      </c>
      <c r="B1" s="3" t="s">
        <v>1</v>
      </c>
      <c r="C1" s="3" t="s">
        <v>2</v>
      </c>
      <c r="D1" s="3" t="s">
        <v>3</v>
      </c>
      <c r="E1" s="3" t="s">
        <v>4</v>
      </c>
      <c r="F1" s="3" t="s">
        <v>5</v>
      </c>
      <c r="G1" s="3" t="s">
        <v>6</v>
      </c>
      <c r="H1" s="3" t="s">
        <v>7</v>
      </c>
      <c r="I1" s="3" t="s">
        <v>8</v>
      </c>
      <c r="J1" s="3" t="s">
        <v>9</v>
      </c>
    </row>
    <row r="2" spans="1:10" x14ac:dyDescent="0.35">
      <c r="A2">
        <v>1</v>
      </c>
      <c r="B2" s="1">
        <v>44745</v>
      </c>
      <c r="C2" t="s">
        <v>10</v>
      </c>
      <c r="D2" t="s">
        <v>11</v>
      </c>
      <c r="E2" s="2">
        <v>20</v>
      </c>
      <c r="F2">
        <v>13</v>
      </c>
      <c r="G2" s="2">
        <v>260</v>
      </c>
      <c r="H2" t="s">
        <v>12</v>
      </c>
      <c r="I2" t="s">
        <v>13</v>
      </c>
      <c r="J2" t="s">
        <v>14</v>
      </c>
    </row>
    <row r="3" spans="1:10" x14ac:dyDescent="0.35">
      <c r="A3">
        <v>2</v>
      </c>
      <c r="B3" s="1">
        <v>44796</v>
      </c>
      <c r="C3" t="s">
        <v>15</v>
      </c>
      <c r="D3" t="s">
        <v>11</v>
      </c>
      <c r="E3" s="2">
        <v>20</v>
      </c>
      <c r="F3">
        <v>15</v>
      </c>
      <c r="G3" s="2">
        <v>300</v>
      </c>
      <c r="H3" t="s">
        <v>16</v>
      </c>
      <c r="I3" t="s">
        <v>13</v>
      </c>
      <c r="J3" t="s">
        <v>17</v>
      </c>
    </row>
    <row r="4" spans="1:10" x14ac:dyDescent="0.35">
      <c r="A4">
        <v>3</v>
      </c>
      <c r="B4" s="1">
        <v>44885</v>
      </c>
      <c r="C4" t="s">
        <v>15</v>
      </c>
      <c r="D4" t="s">
        <v>11</v>
      </c>
      <c r="E4" s="2">
        <v>20</v>
      </c>
      <c r="F4">
        <v>1</v>
      </c>
      <c r="G4" s="2">
        <v>20</v>
      </c>
      <c r="H4" t="s">
        <v>16</v>
      </c>
      <c r="I4" t="s">
        <v>13</v>
      </c>
      <c r="J4" t="s">
        <v>17</v>
      </c>
    </row>
    <row r="5" spans="1:10" x14ac:dyDescent="0.35">
      <c r="A5">
        <v>4</v>
      </c>
      <c r="B5" s="1">
        <v>44960</v>
      </c>
      <c r="C5" t="s">
        <v>18</v>
      </c>
      <c r="D5" t="s">
        <v>19</v>
      </c>
      <c r="E5" s="2">
        <v>25</v>
      </c>
      <c r="F5">
        <v>6</v>
      </c>
      <c r="G5" s="2">
        <v>150</v>
      </c>
      <c r="H5" t="s">
        <v>20</v>
      </c>
      <c r="I5" t="s">
        <v>13</v>
      </c>
      <c r="J5" t="s">
        <v>14</v>
      </c>
    </row>
    <row r="6" spans="1:10" x14ac:dyDescent="0.35">
      <c r="A6">
        <v>5</v>
      </c>
      <c r="B6" s="1">
        <v>44836</v>
      </c>
      <c r="C6" t="s">
        <v>18</v>
      </c>
      <c r="D6" t="s">
        <v>19</v>
      </c>
      <c r="E6" s="2">
        <v>25</v>
      </c>
      <c r="F6">
        <v>8</v>
      </c>
      <c r="G6" s="2">
        <v>200</v>
      </c>
      <c r="H6" t="s">
        <v>20</v>
      </c>
      <c r="I6" t="s">
        <v>13</v>
      </c>
      <c r="J6" t="s">
        <v>21</v>
      </c>
    </row>
    <row r="7" spans="1:10" x14ac:dyDescent="0.35">
      <c r="A7">
        <v>6</v>
      </c>
      <c r="B7" s="1">
        <v>44879</v>
      </c>
      <c r="C7" t="s">
        <v>15</v>
      </c>
      <c r="D7" t="s">
        <v>11</v>
      </c>
      <c r="E7" s="2">
        <v>20</v>
      </c>
      <c r="F7">
        <v>10</v>
      </c>
      <c r="G7" s="2">
        <v>200</v>
      </c>
      <c r="H7" t="s">
        <v>16</v>
      </c>
      <c r="I7" t="s">
        <v>13</v>
      </c>
      <c r="J7" t="s">
        <v>21</v>
      </c>
    </row>
    <row r="8" spans="1:10" x14ac:dyDescent="0.35">
      <c r="A8">
        <v>7</v>
      </c>
      <c r="B8" s="1">
        <v>44684</v>
      </c>
      <c r="C8" t="s">
        <v>18</v>
      </c>
      <c r="D8" t="s">
        <v>19</v>
      </c>
      <c r="E8" s="2">
        <v>25</v>
      </c>
      <c r="F8">
        <v>9</v>
      </c>
      <c r="G8" s="2">
        <v>225</v>
      </c>
      <c r="H8" t="s">
        <v>16</v>
      </c>
      <c r="I8" t="s">
        <v>13</v>
      </c>
      <c r="J8" t="s">
        <v>21</v>
      </c>
    </row>
    <row r="9" spans="1:10" x14ac:dyDescent="0.35">
      <c r="A9">
        <v>8</v>
      </c>
      <c r="B9" s="1">
        <v>44917</v>
      </c>
      <c r="C9" t="s">
        <v>22</v>
      </c>
      <c r="D9" t="s">
        <v>11</v>
      </c>
      <c r="E9" s="2">
        <v>20</v>
      </c>
      <c r="F9">
        <v>14</v>
      </c>
      <c r="G9" s="2">
        <v>280</v>
      </c>
      <c r="H9" t="s">
        <v>20</v>
      </c>
      <c r="I9" t="s">
        <v>13</v>
      </c>
      <c r="J9" t="s">
        <v>14</v>
      </c>
    </row>
    <row r="10" spans="1:10" x14ac:dyDescent="0.35">
      <c r="A10">
        <v>9</v>
      </c>
      <c r="B10" s="1">
        <v>44722</v>
      </c>
      <c r="C10" t="s">
        <v>22</v>
      </c>
      <c r="D10" t="s">
        <v>11</v>
      </c>
      <c r="E10" s="2">
        <v>20</v>
      </c>
      <c r="F10">
        <v>1</v>
      </c>
      <c r="G10" s="2">
        <v>20</v>
      </c>
      <c r="H10" t="s">
        <v>16</v>
      </c>
      <c r="I10" t="s">
        <v>23</v>
      </c>
      <c r="J10" t="s">
        <v>24</v>
      </c>
    </row>
    <row r="11" spans="1:10" x14ac:dyDescent="0.35">
      <c r="A11">
        <v>10</v>
      </c>
      <c r="B11" s="1">
        <v>44820</v>
      </c>
      <c r="C11" t="s">
        <v>22</v>
      </c>
      <c r="D11" t="s">
        <v>11</v>
      </c>
      <c r="E11" s="2">
        <v>20</v>
      </c>
      <c r="F11">
        <v>5</v>
      </c>
      <c r="G11" s="2">
        <v>100</v>
      </c>
      <c r="H11" t="s">
        <v>20</v>
      </c>
      <c r="I11" t="s">
        <v>13</v>
      </c>
      <c r="J11" t="s">
        <v>17</v>
      </c>
    </row>
    <row r="12" spans="1:10" x14ac:dyDescent="0.35">
      <c r="A12">
        <v>11</v>
      </c>
      <c r="B12" s="1">
        <v>44896</v>
      </c>
      <c r="C12" t="s">
        <v>25</v>
      </c>
      <c r="D12" t="s">
        <v>11</v>
      </c>
      <c r="E12" s="2">
        <v>50</v>
      </c>
      <c r="F12">
        <v>8</v>
      </c>
      <c r="G12" s="2">
        <v>400</v>
      </c>
      <c r="H12" t="s">
        <v>20</v>
      </c>
      <c r="I12" t="s">
        <v>23</v>
      </c>
      <c r="J12" t="s">
        <v>17</v>
      </c>
    </row>
    <row r="13" spans="1:10" x14ac:dyDescent="0.35">
      <c r="A13">
        <v>12</v>
      </c>
      <c r="B13" s="1">
        <v>44754</v>
      </c>
      <c r="C13" t="s">
        <v>15</v>
      </c>
      <c r="D13" t="s">
        <v>11</v>
      </c>
      <c r="E13" s="2">
        <v>20</v>
      </c>
      <c r="F13">
        <v>8</v>
      </c>
      <c r="G13" s="2">
        <v>160</v>
      </c>
      <c r="H13" t="s">
        <v>20</v>
      </c>
      <c r="I13" t="s">
        <v>23</v>
      </c>
      <c r="J13" t="s">
        <v>14</v>
      </c>
    </row>
    <row r="14" spans="1:10" x14ac:dyDescent="0.35">
      <c r="A14">
        <v>13</v>
      </c>
      <c r="B14" s="1">
        <v>44917</v>
      </c>
      <c r="C14" t="s">
        <v>22</v>
      </c>
      <c r="D14" t="s">
        <v>11</v>
      </c>
      <c r="E14" s="2">
        <v>20</v>
      </c>
      <c r="F14">
        <v>9</v>
      </c>
      <c r="G14" s="2">
        <v>180</v>
      </c>
      <c r="H14" t="s">
        <v>20</v>
      </c>
      <c r="I14" t="s">
        <v>23</v>
      </c>
      <c r="J14" t="s">
        <v>17</v>
      </c>
    </row>
    <row r="15" spans="1:10" x14ac:dyDescent="0.35">
      <c r="A15">
        <v>14</v>
      </c>
      <c r="B15" s="1">
        <v>44890</v>
      </c>
      <c r="C15" t="s">
        <v>25</v>
      </c>
      <c r="D15" t="s">
        <v>11</v>
      </c>
      <c r="E15" s="2">
        <v>50</v>
      </c>
      <c r="F15">
        <v>4</v>
      </c>
      <c r="G15" s="2">
        <v>200</v>
      </c>
      <c r="H15" t="s">
        <v>20</v>
      </c>
      <c r="I15" t="s">
        <v>13</v>
      </c>
      <c r="J15" t="s">
        <v>24</v>
      </c>
    </row>
    <row r="16" spans="1:10" x14ac:dyDescent="0.35">
      <c r="A16">
        <v>15</v>
      </c>
      <c r="B16" s="1">
        <v>44960</v>
      </c>
      <c r="C16" t="s">
        <v>10</v>
      </c>
      <c r="D16" t="s">
        <v>11</v>
      </c>
      <c r="E16" s="2">
        <v>20</v>
      </c>
      <c r="F16">
        <v>3</v>
      </c>
      <c r="G16" s="2">
        <v>60</v>
      </c>
      <c r="H16" t="s">
        <v>16</v>
      </c>
      <c r="I16" t="s">
        <v>23</v>
      </c>
      <c r="J16" t="s">
        <v>21</v>
      </c>
    </row>
    <row r="17" spans="1:10" x14ac:dyDescent="0.35">
      <c r="A17">
        <v>16</v>
      </c>
      <c r="B17" s="1">
        <v>44665</v>
      </c>
      <c r="C17" t="s">
        <v>26</v>
      </c>
      <c r="D17" t="s">
        <v>11</v>
      </c>
      <c r="E17" s="2">
        <v>60</v>
      </c>
      <c r="F17">
        <v>11</v>
      </c>
      <c r="G17" s="2">
        <v>660</v>
      </c>
      <c r="H17" t="s">
        <v>12</v>
      </c>
      <c r="I17" t="s">
        <v>23</v>
      </c>
      <c r="J17" t="s">
        <v>27</v>
      </c>
    </row>
    <row r="18" spans="1:10" x14ac:dyDescent="0.35">
      <c r="A18">
        <v>17</v>
      </c>
      <c r="B18" s="1">
        <v>44850</v>
      </c>
      <c r="C18" t="s">
        <v>22</v>
      </c>
      <c r="D18" t="s">
        <v>11</v>
      </c>
      <c r="E18" s="2">
        <v>20</v>
      </c>
      <c r="F18">
        <v>11</v>
      </c>
      <c r="G18" s="2">
        <v>220</v>
      </c>
      <c r="H18" t="s">
        <v>16</v>
      </c>
      <c r="I18" t="s">
        <v>23</v>
      </c>
      <c r="J18" t="s">
        <v>24</v>
      </c>
    </row>
    <row r="19" spans="1:10" x14ac:dyDescent="0.35">
      <c r="A19">
        <v>18</v>
      </c>
      <c r="B19" s="1">
        <v>44870</v>
      </c>
      <c r="C19" t="s">
        <v>22</v>
      </c>
      <c r="D19" t="s">
        <v>11</v>
      </c>
      <c r="E19" s="2">
        <v>20</v>
      </c>
      <c r="F19">
        <v>10</v>
      </c>
      <c r="G19" s="2">
        <v>200</v>
      </c>
      <c r="H19" t="s">
        <v>16</v>
      </c>
      <c r="I19" t="s">
        <v>23</v>
      </c>
      <c r="J19" t="s">
        <v>14</v>
      </c>
    </row>
    <row r="20" spans="1:10" x14ac:dyDescent="0.35">
      <c r="A20">
        <v>19</v>
      </c>
      <c r="B20" s="1">
        <v>44795</v>
      </c>
      <c r="C20" t="s">
        <v>22</v>
      </c>
      <c r="D20" t="s">
        <v>11</v>
      </c>
      <c r="E20" s="2">
        <v>20</v>
      </c>
      <c r="F20">
        <v>11</v>
      </c>
      <c r="G20" s="2">
        <v>220</v>
      </c>
      <c r="H20" t="s">
        <v>16</v>
      </c>
      <c r="I20" t="s">
        <v>23</v>
      </c>
      <c r="J20" t="s">
        <v>14</v>
      </c>
    </row>
    <row r="21" spans="1:10" x14ac:dyDescent="0.35">
      <c r="A21">
        <v>20</v>
      </c>
      <c r="B21" s="1">
        <v>44819</v>
      </c>
      <c r="C21" t="s">
        <v>28</v>
      </c>
      <c r="D21" t="s">
        <v>19</v>
      </c>
      <c r="E21" s="2">
        <v>40</v>
      </c>
      <c r="F21">
        <v>10</v>
      </c>
      <c r="G21" s="2">
        <v>400</v>
      </c>
      <c r="H21" t="s">
        <v>20</v>
      </c>
      <c r="I21" t="s">
        <v>13</v>
      </c>
      <c r="J21" t="s">
        <v>14</v>
      </c>
    </row>
    <row r="22" spans="1:10" x14ac:dyDescent="0.35">
      <c r="A22">
        <v>21</v>
      </c>
      <c r="B22" s="1">
        <v>44916</v>
      </c>
      <c r="C22" t="s">
        <v>28</v>
      </c>
      <c r="D22" t="s">
        <v>19</v>
      </c>
      <c r="E22" s="2">
        <v>40</v>
      </c>
      <c r="F22">
        <v>15</v>
      </c>
      <c r="G22" s="2">
        <v>600</v>
      </c>
      <c r="H22" t="s">
        <v>16</v>
      </c>
      <c r="I22" t="s">
        <v>13</v>
      </c>
      <c r="J22" t="s">
        <v>21</v>
      </c>
    </row>
    <row r="23" spans="1:10" x14ac:dyDescent="0.35">
      <c r="A23">
        <v>22</v>
      </c>
      <c r="B23" s="1">
        <v>44838</v>
      </c>
      <c r="C23" t="s">
        <v>18</v>
      </c>
      <c r="D23" t="s">
        <v>19</v>
      </c>
      <c r="E23" s="2">
        <v>25</v>
      </c>
      <c r="F23">
        <v>12</v>
      </c>
      <c r="G23" s="2">
        <v>300</v>
      </c>
      <c r="H23" t="s">
        <v>20</v>
      </c>
      <c r="I23" t="s">
        <v>13</v>
      </c>
      <c r="J23" t="s">
        <v>21</v>
      </c>
    </row>
    <row r="24" spans="1:10" x14ac:dyDescent="0.35">
      <c r="A24">
        <v>23</v>
      </c>
      <c r="B24" s="1">
        <v>44707</v>
      </c>
      <c r="C24" t="s">
        <v>26</v>
      </c>
      <c r="D24" t="s">
        <v>11</v>
      </c>
      <c r="E24" s="2">
        <v>60</v>
      </c>
      <c r="F24">
        <v>3</v>
      </c>
      <c r="G24" s="2">
        <v>180</v>
      </c>
      <c r="H24" t="s">
        <v>20</v>
      </c>
      <c r="I24" t="s">
        <v>13</v>
      </c>
      <c r="J24" t="s">
        <v>27</v>
      </c>
    </row>
    <row r="25" spans="1:10" x14ac:dyDescent="0.35">
      <c r="A25">
        <v>24</v>
      </c>
      <c r="B25" s="1">
        <v>44968</v>
      </c>
      <c r="C25" t="s">
        <v>18</v>
      </c>
      <c r="D25" t="s">
        <v>19</v>
      </c>
      <c r="E25" s="2">
        <v>25</v>
      </c>
      <c r="F25">
        <v>10</v>
      </c>
      <c r="G25" s="2">
        <v>250</v>
      </c>
      <c r="H25" t="s">
        <v>20</v>
      </c>
      <c r="I25" t="s">
        <v>13</v>
      </c>
      <c r="J25" t="s">
        <v>17</v>
      </c>
    </row>
    <row r="26" spans="1:10" x14ac:dyDescent="0.35">
      <c r="A26">
        <v>25</v>
      </c>
      <c r="B26" s="1">
        <v>44804</v>
      </c>
      <c r="C26" t="s">
        <v>26</v>
      </c>
      <c r="D26" t="s">
        <v>11</v>
      </c>
      <c r="E26" s="2">
        <v>60</v>
      </c>
      <c r="F26">
        <v>1</v>
      </c>
      <c r="G26" s="2">
        <v>60</v>
      </c>
      <c r="H26" t="s">
        <v>20</v>
      </c>
      <c r="I26" t="s">
        <v>23</v>
      </c>
      <c r="J26" t="s">
        <v>21</v>
      </c>
    </row>
    <row r="27" spans="1:10" x14ac:dyDescent="0.35">
      <c r="A27">
        <v>26</v>
      </c>
      <c r="B27" s="1">
        <v>44791</v>
      </c>
      <c r="C27" t="s">
        <v>18</v>
      </c>
      <c r="D27" t="s">
        <v>19</v>
      </c>
      <c r="E27" s="2">
        <v>25</v>
      </c>
      <c r="F27">
        <v>4</v>
      </c>
      <c r="G27" s="2">
        <v>100</v>
      </c>
      <c r="H27" t="s">
        <v>16</v>
      </c>
      <c r="I27" t="s">
        <v>13</v>
      </c>
      <c r="J27" t="s">
        <v>17</v>
      </c>
    </row>
    <row r="28" spans="1:10" x14ac:dyDescent="0.35">
      <c r="A28">
        <v>27</v>
      </c>
      <c r="B28" s="1">
        <v>44846</v>
      </c>
      <c r="C28" t="s">
        <v>28</v>
      </c>
      <c r="D28" t="s">
        <v>19</v>
      </c>
      <c r="E28" s="2">
        <v>40</v>
      </c>
      <c r="F28">
        <v>11</v>
      </c>
      <c r="G28" s="2">
        <v>440</v>
      </c>
      <c r="H28" t="s">
        <v>20</v>
      </c>
      <c r="I28" t="s">
        <v>23</v>
      </c>
      <c r="J28" t="s">
        <v>17</v>
      </c>
    </row>
    <row r="29" spans="1:10" x14ac:dyDescent="0.35">
      <c r="A29">
        <v>28</v>
      </c>
      <c r="B29" s="1">
        <v>44932</v>
      </c>
      <c r="C29" t="s">
        <v>28</v>
      </c>
      <c r="D29" t="s">
        <v>19</v>
      </c>
      <c r="E29" s="2">
        <v>40</v>
      </c>
      <c r="F29">
        <v>10</v>
      </c>
      <c r="G29" s="2">
        <v>400</v>
      </c>
      <c r="H29" t="s">
        <v>20</v>
      </c>
      <c r="I29" t="s">
        <v>23</v>
      </c>
      <c r="J29" t="s">
        <v>17</v>
      </c>
    </row>
    <row r="30" spans="1:10" x14ac:dyDescent="0.35">
      <c r="A30">
        <v>29</v>
      </c>
      <c r="B30" s="1">
        <v>44967</v>
      </c>
      <c r="C30" t="s">
        <v>18</v>
      </c>
      <c r="D30" t="s">
        <v>19</v>
      </c>
      <c r="E30" s="2">
        <v>25</v>
      </c>
      <c r="F30">
        <v>9</v>
      </c>
      <c r="G30" s="2">
        <v>225</v>
      </c>
      <c r="H30" t="s">
        <v>20</v>
      </c>
      <c r="I30" t="s">
        <v>13</v>
      </c>
      <c r="J30" t="s">
        <v>17</v>
      </c>
    </row>
    <row r="31" spans="1:10" x14ac:dyDescent="0.35">
      <c r="A31">
        <v>30</v>
      </c>
      <c r="B31" s="1">
        <v>44954</v>
      </c>
      <c r="C31" t="s">
        <v>25</v>
      </c>
      <c r="D31" t="s">
        <v>11</v>
      </c>
      <c r="E31" s="2">
        <v>50</v>
      </c>
      <c r="F31">
        <v>2</v>
      </c>
      <c r="G31" s="2">
        <v>100</v>
      </c>
      <c r="H31" t="s">
        <v>16</v>
      </c>
      <c r="I31" t="s">
        <v>23</v>
      </c>
      <c r="J31" t="s">
        <v>14</v>
      </c>
    </row>
    <row r="32" spans="1:10" x14ac:dyDescent="0.35">
      <c r="A32">
        <v>31</v>
      </c>
      <c r="B32" s="1">
        <v>44818</v>
      </c>
      <c r="C32" t="s">
        <v>28</v>
      </c>
      <c r="D32" t="s">
        <v>19</v>
      </c>
      <c r="E32" s="2">
        <v>40</v>
      </c>
      <c r="F32">
        <v>13</v>
      </c>
      <c r="G32" s="2">
        <v>520</v>
      </c>
      <c r="H32" t="s">
        <v>20</v>
      </c>
      <c r="I32" t="s">
        <v>23</v>
      </c>
      <c r="J32" t="s">
        <v>21</v>
      </c>
    </row>
    <row r="33" spans="1:10" x14ac:dyDescent="0.35">
      <c r="A33">
        <v>32</v>
      </c>
      <c r="B33" s="1">
        <v>44687</v>
      </c>
      <c r="C33" t="s">
        <v>10</v>
      </c>
      <c r="D33" t="s">
        <v>11</v>
      </c>
      <c r="E33" s="2">
        <v>20</v>
      </c>
      <c r="F33">
        <v>4</v>
      </c>
      <c r="G33" s="2">
        <v>80</v>
      </c>
      <c r="H33" t="s">
        <v>12</v>
      </c>
      <c r="I33" t="s">
        <v>13</v>
      </c>
      <c r="J33" t="s">
        <v>24</v>
      </c>
    </row>
    <row r="34" spans="1:10" x14ac:dyDescent="0.35">
      <c r="A34">
        <v>33</v>
      </c>
      <c r="B34" s="1">
        <v>44962</v>
      </c>
      <c r="C34" t="s">
        <v>10</v>
      </c>
      <c r="D34" t="s">
        <v>11</v>
      </c>
      <c r="E34" s="2">
        <v>20</v>
      </c>
      <c r="F34">
        <v>13</v>
      </c>
      <c r="G34" s="2">
        <v>260</v>
      </c>
      <c r="H34" t="s">
        <v>20</v>
      </c>
      <c r="I34" t="s">
        <v>13</v>
      </c>
      <c r="J34" t="s">
        <v>14</v>
      </c>
    </row>
    <row r="35" spans="1:10" x14ac:dyDescent="0.35">
      <c r="A35">
        <v>34</v>
      </c>
      <c r="B35" s="1">
        <v>44961</v>
      </c>
      <c r="C35" t="s">
        <v>25</v>
      </c>
      <c r="D35" t="s">
        <v>11</v>
      </c>
      <c r="E35" s="2">
        <v>50</v>
      </c>
      <c r="F35">
        <v>12</v>
      </c>
      <c r="G35" s="2">
        <v>600</v>
      </c>
      <c r="H35" t="s">
        <v>20</v>
      </c>
      <c r="I35" t="s">
        <v>23</v>
      </c>
      <c r="J35" t="s">
        <v>21</v>
      </c>
    </row>
    <row r="36" spans="1:10" x14ac:dyDescent="0.35">
      <c r="A36">
        <v>35</v>
      </c>
      <c r="B36" s="1">
        <v>44703</v>
      </c>
      <c r="C36" t="s">
        <v>15</v>
      </c>
      <c r="D36" t="s">
        <v>11</v>
      </c>
      <c r="E36" s="2">
        <v>20</v>
      </c>
      <c r="F36">
        <v>8</v>
      </c>
      <c r="G36" s="2">
        <v>160</v>
      </c>
      <c r="H36" t="s">
        <v>16</v>
      </c>
      <c r="I36" t="s">
        <v>13</v>
      </c>
      <c r="J36" t="s">
        <v>24</v>
      </c>
    </row>
    <row r="37" spans="1:10" x14ac:dyDescent="0.35">
      <c r="A37">
        <v>36</v>
      </c>
      <c r="B37" s="1">
        <v>44744</v>
      </c>
      <c r="C37" t="s">
        <v>28</v>
      </c>
      <c r="D37" t="s">
        <v>19</v>
      </c>
      <c r="E37" s="2">
        <v>40</v>
      </c>
      <c r="F37">
        <v>10</v>
      </c>
      <c r="G37" s="2">
        <v>400</v>
      </c>
      <c r="H37" t="s">
        <v>20</v>
      </c>
      <c r="I37" t="s">
        <v>13</v>
      </c>
      <c r="J37" t="s">
        <v>17</v>
      </c>
    </row>
    <row r="38" spans="1:10" x14ac:dyDescent="0.35">
      <c r="A38">
        <v>37</v>
      </c>
      <c r="B38" s="1">
        <v>44931</v>
      </c>
      <c r="C38" t="s">
        <v>25</v>
      </c>
      <c r="D38" t="s">
        <v>11</v>
      </c>
      <c r="E38" s="2">
        <v>50</v>
      </c>
      <c r="F38">
        <v>10</v>
      </c>
      <c r="G38" s="2">
        <v>500</v>
      </c>
      <c r="H38" t="s">
        <v>16</v>
      </c>
      <c r="I38" t="s">
        <v>13</v>
      </c>
      <c r="J38" t="s">
        <v>14</v>
      </c>
    </row>
    <row r="39" spans="1:10" x14ac:dyDescent="0.35">
      <c r="A39">
        <v>38</v>
      </c>
      <c r="B39" s="1">
        <v>44993</v>
      </c>
      <c r="C39" t="s">
        <v>22</v>
      </c>
      <c r="D39" t="s">
        <v>11</v>
      </c>
      <c r="E39" s="2">
        <v>20</v>
      </c>
      <c r="F39">
        <v>12</v>
      </c>
      <c r="G39" s="2">
        <v>240</v>
      </c>
      <c r="H39" t="s">
        <v>20</v>
      </c>
      <c r="I39" t="s">
        <v>23</v>
      </c>
      <c r="J39" t="s">
        <v>14</v>
      </c>
    </row>
    <row r="40" spans="1:10" x14ac:dyDescent="0.35">
      <c r="A40">
        <v>39</v>
      </c>
      <c r="B40" s="1">
        <v>44695</v>
      </c>
      <c r="C40" t="s">
        <v>15</v>
      </c>
      <c r="D40" t="s">
        <v>11</v>
      </c>
      <c r="E40" s="2">
        <v>20</v>
      </c>
      <c r="F40">
        <v>2</v>
      </c>
      <c r="G40" s="2">
        <v>40</v>
      </c>
      <c r="H40" t="s">
        <v>20</v>
      </c>
      <c r="I40" t="s">
        <v>13</v>
      </c>
      <c r="J40" t="s">
        <v>21</v>
      </c>
    </row>
    <row r="41" spans="1:10" x14ac:dyDescent="0.35">
      <c r="A41">
        <v>40</v>
      </c>
      <c r="B41" s="1">
        <v>44962</v>
      </c>
      <c r="C41" t="s">
        <v>26</v>
      </c>
      <c r="D41" t="s">
        <v>11</v>
      </c>
      <c r="E41" s="2">
        <v>60</v>
      </c>
      <c r="F41">
        <v>5</v>
      </c>
      <c r="G41" s="2">
        <v>300</v>
      </c>
      <c r="H41" t="s">
        <v>20</v>
      </c>
      <c r="I41" t="s">
        <v>23</v>
      </c>
      <c r="J41" t="s">
        <v>14</v>
      </c>
    </row>
    <row r="42" spans="1:10" x14ac:dyDescent="0.35">
      <c r="A42">
        <v>41</v>
      </c>
      <c r="B42" s="1">
        <v>44878</v>
      </c>
      <c r="C42" t="s">
        <v>28</v>
      </c>
      <c r="D42" t="s">
        <v>19</v>
      </c>
      <c r="E42" s="2">
        <v>40</v>
      </c>
      <c r="F42">
        <v>11</v>
      </c>
      <c r="G42" s="2">
        <v>440</v>
      </c>
      <c r="H42" t="s">
        <v>12</v>
      </c>
      <c r="I42" t="s">
        <v>13</v>
      </c>
      <c r="J42" t="s">
        <v>17</v>
      </c>
    </row>
    <row r="43" spans="1:10" x14ac:dyDescent="0.35">
      <c r="A43">
        <v>42</v>
      </c>
      <c r="B43" s="1">
        <v>44690</v>
      </c>
      <c r="C43" t="s">
        <v>10</v>
      </c>
      <c r="D43" t="s">
        <v>11</v>
      </c>
      <c r="E43" s="2">
        <v>20</v>
      </c>
      <c r="F43">
        <v>8</v>
      </c>
      <c r="G43" s="2">
        <v>160</v>
      </c>
      <c r="H43" t="s">
        <v>20</v>
      </c>
      <c r="I43" t="s">
        <v>23</v>
      </c>
      <c r="J43" t="s">
        <v>14</v>
      </c>
    </row>
    <row r="44" spans="1:10" x14ac:dyDescent="0.35">
      <c r="A44">
        <v>43</v>
      </c>
      <c r="B44" s="1">
        <v>44707</v>
      </c>
      <c r="C44" t="s">
        <v>15</v>
      </c>
      <c r="D44" t="s">
        <v>11</v>
      </c>
      <c r="E44" s="2">
        <v>20</v>
      </c>
      <c r="F44">
        <v>1</v>
      </c>
      <c r="G44" s="2">
        <v>20</v>
      </c>
      <c r="H44" t="s">
        <v>16</v>
      </c>
      <c r="I44" t="s">
        <v>13</v>
      </c>
      <c r="J44" t="s">
        <v>14</v>
      </c>
    </row>
    <row r="45" spans="1:10" x14ac:dyDescent="0.35">
      <c r="A45">
        <v>44</v>
      </c>
      <c r="B45" s="1">
        <v>44801</v>
      </c>
      <c r="C45" t="s">
        <v>28</v>
      </c>
      <c r="D45" t="s">
        <v>19</v>
      </c>
      <c r="E45" s="2">
        <v>40</v>
      </c>
      <c r="F45">
        <v>12</v>
      </c>
      <c r="G45" s="2">
        <v>480</v>
      </c>
      <c r="H45" t="s">
        <v>16</v>
      </c>
      <c r="I45" t="s">
        <v>13</v>
      </c>
      <c r="J45" t="s">
        <v>21</v>
      </c>
    </row>
    <row r="46" spans="1:10" x14ac:dyDescent="0.35">
      <c r="A46">
        <v>45</v>
      </c>
      <c r="B46" s="1">
        <v>44788</v>
      </c>
      <c r="C46" t="s">
        <v>18</v>
      </c>
      <c r="D46" t="s">
        <v>19</v>
      </c>
      <c r="E46" s="2">
        <v>25</v>
      </c>
      <c r="F46">
        <v>6</v>
      </c>
      <c r="G46" s="2">
        <v>150</v>
      </c>
      <c r="H46" t="s">
        <v>16</v>
      </c>
      <c r="I46" t="s">
        <v>23</v>
      </c>
      <c r="J46" t="s">
        <v>17</v>
      </c>
    </row>
    <row r="47" spans="1:10" x14ac:dyDescent="0.35">
      <c r="A47">
        <v>46</v>
      </c>
      <c r="B47" s="1">
        <v>44688</v>
      </c>
      <c r="C47" t="s">
        <v>15</v>
      </c>
      <c r="D47" t="s">
        <v>11</v>
      </c>
      <c r="E47" s="2">
        <v>20</v>
      </c>
      <c r="F47">
        <v>7</v>
      </c>
      <c r="G47" s="2">
        <v>140</v>
      </c>
      <c r="H47" t="s">
        <v>16</v>
      </c>
      <c r="I47" t="s">
        <v>13</v>
      </c>
      <c r="J47" t="s">
        <v>21</v>
      </c>
    </row>
    <row r="48" spans="1:10" x14ac:dyDescent="0.35">
      <c r="A48">
        <v>47</v>
      </c>
      <c r="B48" s="1">
        <v>44752</v>
      </c>
      <c r="C48" t="s">
        <v>26</v>
      </c>
      <c r="D48" t="s">
        <v>11</v>
      </c>
      <c r="E48" s="2">
        <v>60</v>
      </c>
      <c r="F48">
        <v>7</v>
      </c>
      <c r="G48" s="2">
        <v>420</v>
      </c>
      <c r="H48" t="s">
        <v>12</v>
      </c>
      <c r="I48" t="s">
        <v>13</v>
      </c>
      <c r="J48" t="s">
        <v>24</v>
      </c>
    </row>
    <row r="49" spans="1:10" x14ac:dyDescent="0.35">
      <c r="A49">
        <v>48</v>
      </c>
      <c r="B49" s="1">
        <v>44980</v>
      </c>
      <c r="C49" t="s">
        <v>26</v>
      </c>
      <c r="D49" t="s">
        <v>11</v>
      </c>
      <c r="E49" s="2">
        <v>60</v>
      </c>
      <c r="F49">
        <v>14</v>
      </c>
      <c r="G49" s="2">
        <v>840</v>
      </c>
      <c r="H49" t="s">
        <v>20</v>
      </c>
      <c r="I49" t="s">
        <v>13</v>
      </c>
      <c r="J49" t="s">
        <v>17</v>
      </c>
    </row>
    <row r="50" spans="1:10" x14ac:dyDescent="0.35">
      <c r="A50">
        <v>49</v>
      </c>
      <c r="B50" s="1">
        <v>44871</v>
      </c>
      <c r="C50" t="s">
        <v>25</v>
      </c>
      <c r="D50" t="s">
        <v>11</v>
      </c>
      <c r="E50" s="2">
        <v>50</v>
      </c>
      <c r="F50">
        <v>4</v>
      </c>
      <c r="G50" s="2">
        <v>200</v>
      </c>
      <c r="H50" t="s">
        <v>20</v>
      </c>
      <c r="I50" t="s">
        <v>23</v>
      </c>
      <c r="J50" t="s">
        <v>24</v>
      </c>
    </row>
    <row r="51" spans="1:10" x14ac:dyDescent="0.35">
      <c r="A51">
        <v>50</v>
      </c>
      <c r="B51" s="1">
        <v>44867</v>
      </c>
      <c r="C51" t="s">
        <v>15</v>
      </c>
      <c r="D51" t="s">
        <v>11</v>
      </c>
      <c r="E51" s="2">
        <v>20</v>
      </c>
      <c r="F51">
        <v>8</v>
      </c>
      <c r="G51" s="2">
        <v>160</v>
      </c>
      <c r="H51" t="s">
        <v>16</v>
      </c>
      <c r="I51" t="s">
        <v>23</v>
      </c>
      <c r="J51" t="s">
        <v>27</v>
      </c>
    </row>
    <row r="52" spans="1:10" x14ac:dyDescent="0.35">
      <c r="A52">
        <v>51</v>
      </c>
      <c r="B52" s="1">
        <v>44697</v>
      </c>
      <c r="C52" t="s">
        <v>25</v>
      </c>
      <c r="D52" t="s">
        <v>11</v>
      </c>
      <c r="E52" s="2">
        <v>50</v>
      </c>
      <c r="F52">
        <v>15</v>
      </c>
      <c r="G52" s="2">
        <v>750</v>
      </c>
      <c r="H52" t="s">
        <v>20</v>
      </c>
      <c r="I52" t="s">
        <v>23</v>
      </c>
      <c r="J52" t="s">
        <v>24</v>
      </c>
    </row>
    <row r="53" spans="1:10" x14ac:dyDescent="0.35">
      <c r="A53">
        <v>52</v>
      </c>
      <c r="B53" s="1">
        <v>45001</v>
      </c>
      <c r="C53" t="s">
        <v>18</v>
      </c>
      <c r="D53" t="s">
        <v>19</v>
      </c>
      <c r="E53" s="2">
        <v>25</v>
      </c>
      <c r="F53">
        <v>12</v>
      </c>
      <c r="G53" s="2">
        <v>300</v>
      </c>
      <c r="H53" t="s">
        <v>16</v>
      </c>
      <c r="I53" t="s">
        <v>23</v>
      </c>
      <c r="J53" t="s">
        <v>27</v>
      </c>
    </row>
    <row r="54" spans="1:10" x14ac:dyDescent="0.35">
      <c r="A54">
        <v>53</v>
      </c>
      <c r="B54" s="1">
        <v>44768</v>
      </c>
      <c r="C54" t="s">
        <v>10</v>
      </c>
      <c r="D54" t="s">
        <v>11</v>
      </c>
      <c r="E54" s="2">
        <v>20</v>
      </c>
      <c r="F54">
        <v>13</v>
      </c>
      <c r="G54" s="2">
        <v>260</v>
      </c>
      <c r="H54" t="s">
        <v>16</v>
      </c>
      <c r="I54" t="s">
        <v>13</v>
      </c>
      <c r="J54" t="s">
        <v>17</v>
      </c>
    </row>
    <row r="55" spans="1:10" x14ac:dyDescent="0.35">
      <c r="A55">
        <v>54</v>
      </c>
      <c r="B55" s="1">
        <v>44923</v>
      </c>
      <c r="C55" t="s">
        <v>22</v>
      </c>
      <c r="D55" t="s">
        <v>11</v>
      </c>
      <c r="E55" s="2">
        <v>20</v>
      </c>
      <c r="F55">
        <v>14</v>
      </c>
      <c r="G55" s="2">
        <v>280</v>
      </c>
      <c r="H55" t="s">
        <v>20</v>
      </c>
      <c r="I55" t="s">
        <v>23</v>
      </c>
      <c r="J55" t="s">
        <v>24</v>
      </c>
    </row>
    <row r="56" spans="1:10" x14ac:dyDescent="0.35">
      <c r="A56">
        <v>55</v>
      </c>
      <c r="B56" s="1">
        <v>44688</v>
      </c>
      <c r="C56" t="s">
        <v>26</v>
      </c>
      <c r="D56" t="s">
        <v>11</v>
      </c>
      <c r="E56" s="2">
        <v>60</v>
      </c>
      <c r="F56">
        <v>10</v>
      </c>
      <c r="G56" s="2">
        <v>600</v>
      </c>
      <c r="H56" t="s">
        <v>16</v>
      </c>
      <c r="I56" t="s">
        <v>13</v>
      </c>
      <c r="J56" t="s">
        <v>14</v>
      </c>
    </row>
    <row r="57" spans="1:10" x14ac:dyDescent="0.35">
      <c r="A57">
        <v>56</v>
      </c>
      <c r="B57" s="1">
        <v>44888</v>
      </c>
      <c r="C57" t="s">
        <v>22</v>
      </c>
      <c r="D57" t="s">
        <v>11</v>
      </c>
      <c r="E57" s="2">
        <v>20</v>
      </c>
      <c r="F57">
        <v>11</v>
      </c>
      <c r="G57" s="2">
        <v>220</v>
      </c>
      <c r="H57" t="s">
        <v>16</v>
      </c>
      <c r="I57" t="s">
        <v>23</v>
      </c>
      <c r="J57" t="s">
        <v>27</v>
      </c>
    </row>
    <row r="58" spans="1:10" x14ac:dyDescent="0.35">
      <c r="A58">
        <v>57</v>
      </c>
      <c r="B58" s="1">
        <v>44777</v>
      </c>
      <c r="C58" t="s">
        <v>22</v>
      </c>
      <c r="D58" t="s">
        <v>11</v>
      </c>
      <c r="E58" s="2">
        <v>20</v>
      </c>
      <c r="F58">
        <v>14</v>
      </c>
      <c r="G58" s="2">
        <v>280</v>
      </c>
      <c r="H58" t="s">
        <v>20</v>
      </c>
      <c r="I58" t="s">
        <v>23</v>
      </c>
      <c r="J58" t="s">
        <v>24</v>
      </c>
    </row>
    <row r="59" spans="1:10" x14ac:dyDescent="0.35">
      <c r="A59">
        <v>58</v>
      </c>
      <c r="B59" s="1">
        <v>44960</v>
      </c>
      <c r="C59" t="s">
        <v>15</v>
      </c>
      <c r="D59" t="s">
        <v>11</v>
      </c>
      <c r="E59" s="2">
        <v>20</v>
      </c>
      <c r="F59">
        <v>6</v>
      </c>
      <c r="G59" s="2">
        <v>120</v>
      </c>
      <c r="H59" t="s">
        <v>20</v>
      </c>
      <c r="I59" t="s">
        <v>23</v>
      </c>
      <c r="J59" t="s">
        <v>24</v>
      </c>
    </row>
    <row r="60" spans="1:10" x14ac:dyDescent="0.35">
      <c r="A60">
        <v>59</v>
      </c>
      <c r="B60" s="1">
        <v>44743</v>
      </c>
      <c r="C60" t="s">
        <v>15</v>
      </c>
      <c r="D60" t="s">
        <v>11</v>
      </c>
      <c r="E60" s="2">
        <v>20</v>
      </c>
      <c r="F60">
        <v>5</v>
      </c>
      <c r="G60" s="2">
        <v>100</v>
      </c>
      <c r="H60" t="s">
        <v>16</v>
      </c>
      <c r="I60" t="s">
        <v>13</v>
      </c>
      <c r="J60" t="s">
        <v>24</v>
      </c>
    </row>
    <row r="61" spans="1:10" x14ac:dyDescent="0.35">
      <c r="A61">
        <v>60</v>
      </c>
      <c r="B61" s="1">
        <v>44723</v>
      </c>
      <c r="C61" t="s">
        <v>28</v>
      </c>
      <c r="D61" t="s">
        <v>19</v>
      </c>
      <c r="E61" s="2">
        <v>40</v>
      </c>
      <c r="F61">
        <v>2</v>
      </c>
      <c r="G61" s="2">
        <v>80</v>
      </c>
      <c r="H61" t="s">
        <v>20</v>
      </c>
      <c r="I61" t="s">
        <v>13</v>
      </c>
      <c r="J61" t="s">
        <v>14</v>
      </c>
    </row>
    <row r="62" spans="1:10" x14ac:dyDescent="0.35">
      <c r="A62">
        <v>61</v>
      </c>
      <c r="B62" s="1">
        <v>44920</v>
      </c>
      <c r="C62" t="s">
        <v>15</v>
      </c>
      <c r="D62" t="s">
        <v>11</v>
      </c>
      <c r="E62" s="2">
        <v>20</v>
      </c>
      <c r="F62">
        <v>14</v>
      </c>
      <c r="G62" s="2">
        <v>280</v>
      </c>
      <c r="H62" t="s">
        <v>16</v>
      </c>
      <c r="I62" t="s">
        <v>23</v>
      </c>
      <c r="J62" t="s">
        <v>17</v>
      </c>
    </row>
    <row r="63" spans="1:10" x14ac:dyDescent="0.35">
      <c r="A63">
        <v>62</v>
      </c>
      <c r="B63" s="1">
        <v>44851</v>
      </c>
      <c r="C63" t="s">
        <v>18</v>
      </c>
      <c r="D63" t="s">
        <v>19</v>
      </c>
      <c r="E63" s="2">
        <v>25</v>
      </c>
      <c r="F63">
        <v>3</v>
      </c>
      <c r="G63" s="2">
        <v>75</v>
      </c>
      <c r="H63" t="s">
        <v>16</v>
      </c>
      <c r="I63" t="s">
        <v>13</v>
      </c>
      <c r="J63" t="s">
        <v>17</v>
      </c>
    </row>
    <row r="64" spans="1:10" x14ac:dyDescent="0.35">
      <c r="A64">
        <v>63</v>
      </c>
      <c r="B64" s="1">
        <v>44896</v>
      </c>
      <c r="C64" t="s">
        <v>26</v>
      </c>
      <c r="D64" t="s">
        <v>11</v>
      </c>
      <c r="E64" s="2">
        <v>60</v>
      </c>
      <c r="F64">
        <v>7</v>
      </c>
      <c r="G64" s="2">
        <v>420</v>
      </c>
      <c r="H64" t="s">
        <v>20</v>
      </c>
      <c r="I64" t="s">
        <v>23</v>
      </c>
      <c r="J64" t="s">
        <v>24</v>
      </c>
    </row>
    <row r="65" spans="1:10" x14ac:dyDescent="0.35">
      <c r="A65">
        <v>64</v>
      </c>
      <c r="B65" s="1">
        <v>44904</v>
      </c>
      <c r="C65" t="s">
        <v>28</v>
      </c>
      <c r="D65" t="s">
        <v>19</v>
      </c>
      <c r="E65" s="2">
        <v>40</v>
      </c>
      <c r="F65">
        <v>1</v>
      </c>
      <c r="G65" s="2">
        <v>40</v>
      </c>
      <c r="H65" t="s">
        <v>16</v>
      </c>
      <c r="I65" t="s">
        <v>13</v>
      </c>
      <c r="J65" t="s">
        <v>24</v>
      </c>
    </row>
    <row r="66" spans="1:10" x14ac:dyDescent="0.35">
      <c r="A66">
        <v>65</v>
      </c>
      <c r="B66" s="1">
        <v>44767</v>
      </c>
      <c r="C66" t="s">
        <v>10</v>
      </c>
      <c r="D66" t="s">
        <v>11</v>
      </c>
      <c r="E66" s="2">
        <v>20</v>
      </c>
      <c r="F66">
        <v>4</v>
      </c>
      <c r="G66" s="2">
        <v>80</v>
      </c>
      <c r="H66" t="s">
        <v>16</v>
      </c>
      <c r="I66" t="s">
        <v>13</v>
      </c>
      <c r="J66" t="s">
        <v>24</v>
      </c>
    </row>
    <row r="67" spans="1:10" x14ac:dyDescent="0.35">
      <c r="A67">
        <v>66</v>
      </c>
      <c r="B67" s="1">
        <v>44656</v>
      </c>
      <c r="C67" t="s">
        <v>25</v>
      </c>
      <c r="D67" t="s">
        <v>11</v>
      </c>
      <c r="E67" s="2">
        <v>50</v>
      </c>
      <c r="F67">
        <v>2</v>
      </c>
      <c r="G67" s="2">
        <v>100</v>
      </c>
      <c r="H67" t="s">
        <v>16</v>
      </c>
      <c r="I67" t="s">
        <v>23</v>
      </c>
      <c r="J67" t="s">
        <v>24</v>
      </c>
    </row>
    <row r="68" spans="1:10" x14ac:dyDescent="0.35">
      <c r="A68">
        <v>67</v>
      </c>
      <c r="B68" s="1">
        <v>44696</v>
      </c>
      <c r="C68" t="s">
        <v>10</v>
      </c>
      <c r="D68" t="s">
        <v>11</v>
      </c>
      <c r="E68" s="2">
        <v>20</v>
      </c>
      <c r="F68">
        <v>9</v>
      </c>
      <c r="G68" s="2">
        <v>180</v>
      </c>
      <c r="H68" t="s">
        <v>16</v>
      </c>
      <c r="I68" t="s">
        <v>13</v>
      </c>
      <c r="J68" t="s">
        <v>27</v>
      </c>
    </row>
    <row r="69" spans="1:10" x14ac:dyDescent="0.35">
      <c r="A69">
        <v>68</v>
      </c>
      <c r="B69" s="1">
        <v>44912</v>
      </c>
      <c r="C69" t="s">
        <v>28</v>
      </c>
      <c r="D69" t="s">
        <v>19</v>
      </c>
      <c r="E69" s="2">
        <v>40</v>
      </c>
      <c r="F69">
        <v>2</v>
      </c>
      <c r="G69" s="2">
        <v>80</v>
      </c>
      <c r="H69" t="s">
        <v>12</v>
      </c>
      <c r="I69" t="s">
        <v>13</v>
      </c>
      <c r="J69" t="s">
        <v>14</v>
      </c>
    </row>
    <row r="70" spans="1:10" x14ac:dyDescent="0.35">
      <c r="A70">
        <v>69</v>
      </c>
      <c r="B70" s="1">
        <v>44936</v>
      </c>
      <c r="C70" t="s">
        <v>15</v>
      </c>
      <c r="D70" t="s">
        <v>11</v>
      </c>
      <c r="E70" s="2">
        <v>20</v>
      </c>
      <c r="F70">
        <v>7</v>
      </c>
      <c r="G70" s="2">
        <v>140</v>
      </c>
      <c r="H70" t="s">
        <v>16</v>
      </c>
      <c r="I70" t="s">
        <v>13</v>
      </c>
      <c r="J70" t="s">
        <v>27</v>
      </c>
    </row>
    <row r="71" spans="1:10" x14ac:dyDescent="0.35">
      <c r="A71">
        <v>70</v>
      </c>
      <c r="B71" s="1">
        <v>44690</v>
      </c>
      <c r="C71" t="s">
        <v>28</v>
      </c>
      <c r="D71" t="s">
        <v>19</v>
      </c>
      <c r="E71" s="2">
        <v>40</v>
      </c>
      <c r="F71">
        <v>14</v>
      </c>
      <c r="G71" s="2">
        <v>560</v>
      </c>
      <c r="H71" t="s">
        <v>12</v>
      </c>
      <c r="I71" t="s">
        <v>23</v>
      </c>
      <c r="J71" t="s">
        <v>24</v>
      </c>
    </row>
    <row r="72" spans="1:10" x14ac:dyDescent="0.35">
      <c r="A72">
        <v>71</v>
      </c>
      <c r="B72" s="1">
        <v>44900</v>
      </c>
      <c r="C72" t="s">
        <v>28</v>
      </c>
      <c r="D72" t="s">
        <v>19</v>
      </c>
      <c r="E72" s="2">
        <v>40</v>
      </c>
      <c r="F72">
        <v>6</v>
      </c>
      <c r="G72" s="2">
        <v>240</v>
      </c>
      <c r="H72" t="s">
        <v>20</v>
      </c>
      <c r="I72" t="s">
        <v>13</v>
      </c>
      <c r="J72" t="s">
        <v>14</v>
      </c>
    </row>
    <row r="73" spans="1:10" x14ac:dyDescent="0.35">
      <c r="A73">
        <v>72</v>
      </c>
      <c r="B73" s="1">
        <v>44994</v>
      </c>
      <c r="C73" t="s">
        <v>25</v>
      </c>
      <c r="D73" t="s">
        <v>11</v>
      </c>
      <c r="E73" s="2">
        <v>50</v>
      </c>
      <c r="F73">
        <v>13</v>
      </c>
      <c r="G73" s="2">
        <v>650</v>
      </c>
      <c r="H73" t="s">
        <v>20</v>
      </c>
      <c r="I73" t="s">
        <v>13</v>
      </c>
      <c r="J73" t="s">
        <v>17</v>
      </c>
    </row>
    <row r="74" spans="1:10" x14ac:dyDescent="0.35">
      <c r="A74">
        <v>73</v>
      </c>
      <c r="B74" s="1">
        <v>44771</v>
      </c>
      <c r="C74" t="s">
        <v>22</v>
      </c>
      <c r="D74" t="s">
        <v>11</v>
      </c>
      <c r="E74" s="2">
        <v>20</v>
      </c>
      <c r="F74">
        <v>5</v>
      </c>
      <c r="G74" s="2">
        <v>100</v>
      </c>
      <c r="H74" t="s">
        <v>16</v>
      </c>
      <c r="I74" t="s">
        <v>13</v>
      </c>
      <c r="J74" t="s">
        <v>27</v>
      </c>
    </row>
    <row r="75" spans="1:10" x14ac:dyDescent="0.35">
      <c r="A75">
        <v>74</v>
      </c>
      <c r="B75" s="1">
        <v>44788</v>
      </c>
      <c r="C75" t="s">
        <v>28</v>
      </c>
      <c r="D75" t="s">
        <v>19</v>
      </c>
      <c r="E75" s="2">
        <v>40</v>
      </c>
      <c r="F75">
        <v>10</v>
      </c>
      <c r="G75" s="2">
        <v>400</v>
      </c>
      <c r="H75" t="s">
        <v>20</v>
      </c>
      <c r="I75" t="s">
        <v>23</v>
      </c>
      <c r="J75" t="s">
        <v>21</v>
      </c>
    </row>
    <row r="76" spans="1:10" x14ac:dyDescent="0.35">
      <c r="A76">
        <v>75</v>
      </c>
      <c r="B76" s="1">
        <v>44959</v>
      </c>
      <c r="C76" t="s">
        <v>28</v>
      </c>
      <c r="D76" t="s">
        <v>19</v>
      </c>
      <c r="E76" s="2">
        <v>40</v>
      </c>
      <c r="F76">
        <v>6</v>
      </c>
      <c r="G76" s="2">
        <v>240</v>
      </c>
      <c r="H76" t="s">
        <v>20</v>
      </c>
      <c r="I76" t="s">
        <v>23</v>
      </c>
      <c r="J76" t="s">
        <v>17</v>
      </c>
    </row>
    <row r="77" spans="1:10" x14ac:dyDescent="0.35">
      <c r="A77">
        <v>76</v>
      </c>
      <c r="B77" s="1">
        <v>44790</v>
      </c>
      <c r="C77" t="s">
        <v>15</v>
      </c>
      <c r="D77" t="s">
        <v>11</v>
      </c>
      <c r="E77" s="2">
        <v>20</v>
      </c>
      <c r="F77">
        <v>9</v>
      </c>
      <c r="G77" s="2">
        <v>180</v>
      </c>
      <c r="H77" t="s">
        <v>20</v>
      </c>
      <c r="I77" t="s">
        <v>13</v>
      </c>
      <c r="J77" t="s">
        <v>24</v>
      </c>
    </row>
    <row r="78" spans="1:10" x14ac:dyDescent="0.35">
      <c r="A78">
        <v>77</v>
      </c>
      <c r="B78" s="1">
        <v>44961</v>
      </c>
      <c r="C78" t="s">
        <v>18</v>
      </c>
      <c r="D78" t="s">
        <v>19</v>
      </c>
      <c r="E78" s="2">
        <v>25</v>
      </c>
      <c r="F78">
        <v>12</v>
      </c>
      <c r="G78" s="2">
        <v>300</v>
      </c>
      <c r="H78" t="s">
        <v>16</v>
      </c>
      <c r="I78" t="s">
        <v>23</v>
      </c>
      <c r="J78" t="s">
        <v>27</v>
      </c>
    </row>
    <row r="79" spans="1:10" x14ac:dyDescent="0.35">
      <c r="A79">
        <v>78</v>
      </c>
      <c r="B79" s="1">
        <v>44835</v>
      </c>
      <c r="C79" t="s">
        <v>15</v>
      </c>
      <c r="D79" t="s">
        <v>11</v>
      </c>
      <c r="E79" s="2">
        <v>20</v>
      </c>
      <c r="F79">
        <v>4</v>
      </c>
      <c r="G79" s="2">
        <v>80</v>
      </c>
      <c r="H79" t="s">
        <v>16</v>
      </c>
      <c r="I79" t="s">
        <v>23</v>
      </c>
      <c r="J79" t="s">
        <v>21</v>
      </c>
    </row>
    <row r="80" spans="1:10" x14ac:dyDescent="0.35">
      <c r="A80">
        <v>79</v>
      </c>
      <c r="B80" s="1">
        <v>44870</v>
      </c>
      <c r="C80" t="s">
        <v>22</v>
      </c>
      <c r="D80" t="s">
        <v>11</v>
      </c>
      <c r="E80" s="2">
        <v>20</v>
      </c>
      <c r="F80">
        <v>6</v>
      </c>
      <c r="G80" s="2">
        <v>120</v>
      </c>
      <c r="H80" t="s">
        <v>20</v>
      </c>
      <c r="I80" t="s">
        <v>13</v>
      </c>
      <c r="J80" t="s">
        <v>14</v>
      </c>
    </row>
    <row r="81" spans="1:10" x14ac:dyDescent="0.35">
      <c r="A81">
        <v>80</v>
      </c>
      <c r="B81" s="1">
        <v>44705</v>
      </c>
      <c r="C81" t="s">
        <v>25</v>
      </c>
      <c r="D81" t="s">
        <v>11</v>
      </c>
      <c r="E81" s="2">
        <v>50</v>
      </c>
      <c r="F81">
        <v>13</v>
      </c>
      <c r="G81" s="2">
        <v>650</v>
      </c>
      <c r="H81" t="s">
        <v>16</v>
      </c>
      <c r="I81" t="s">
        <v>13</v>
      </c>
      <c r="J81" t="s">
        <v>21</v>
      </c>
    </row>
    <row r="82" spans="1:10" x14ac:dyDescent="0.35">
      <c r="A82">
        <v>81</v>
      </c>
      <c r="B82" s="1">
        <v>44884</v>
      </c>
      <c r="C82" t="s">
        <v>25</v>
      </c>
      <c r="D82" t="s">
        <v>11</v>
      </c>
      <c r="E82" s="2">
        <v>50</v>
      </c>
      <c r="F82">
        <v>12</v>
      </c>
      <c r="G82" s="2">
        <v>600</v>
      </c>
      <c r="H82" t="s">
        <v>20</v>
      </c>
      <c r="I82" t="s">
        <v>23</v>
      </c>
      <c r="J82" t="s">
        <v>14</v>
      </c>
    </row>
    <row r="83" spans="1:10" x14ac:dyDescent="0.35">
      <c r="A83">
        <v>82</v>
      </c>
      <c r="B83" s="1">
        <v>44759</v>
      </c>
      <c r="C83" t="s">
        <v>25</v>
      </c>
      <c r="D83" t="s">
        <v>11</v>
      </c>
      <c r="E83" s="2">
        <v>50</v>
      </c>
      <c r="F83">
        <v>3</v>
      </c>
      <c r="G83" s="2">
        <v>150</v>
      </c>
      <c r="H83" t="s">
        <v>20</v>
      </c>
      <c r="I83" t="s">
        <v>23</v>
      </c>
      <c r="J83" t="s">
        <v>21</v>
      </c>
    </row>
    <row r="84" spans="1:10" x14ac:dyDescent="0.35">
      <c r="A84">
        <v>83</v>
      </c>
      <c r="B84" s="1">
        <v>44878</v>
      </c>
      <c r="C84" t="s">
        <v>25</v>
      </c>
      <c r="D84" t="s">
        <v>11</v>
      </c>
      <c r="E84" s="2">
        <v>50</v>
      </c>
      <c r="F84">
        <v>11</v>
      </c>
      <c r="G84" s="2">
        <v>550</v>
      </c>
      <c r="H84" t="s">
        <v>12</v>
      </c>
      <c r="I84" t="s">
        <v>13</v>
      </c>
      <c r="J84" t="s">
        <v>21</v>
      </c>
    </row>
    <row r="85" spans="1:10" x14ac:dyDescent="0.35">
      <c r="A85">
        <v>84</v>
      </c>
      <c r="B85" s="1">
        <v>44988</v>
      </c>
      <c r="C85" t="s">
        <v>22</v>
      </c>
      <c r="D85" t="s">
        <v>11</v>
      </c>
      <c r="E85" s="2">
        <v>20</v>
      </c>
      <c r="F85">
        <v>13</v>
      </c>
      <c r="G85" s="2">
        <v>260</v>
      </c>
      <c r="H85" t="s">
        <v>16</v>
      </c>
      <c r="I85" t="s">
        <v>13</v>
      </c>
      <c r="J85" t="s">
        <v>27</v>
      </c>
    </row>
    <row r="86" spans="1:10" x14ac:dyDescent="0.35">
      <c r="A86">
        <v>85</v>
      </c>
      <c r="B86" s="1">
        <v>44792</v>
      </c>
      <c r="C86" t="s">
        <v>10</v>
      </c>
      <c r="D86" t="s">
        <v>11</v>
      </c>
      <c r="E86" s="2">
        <v>20</v>
      </c>
      <c r="F86">
        <v>3</v>
      </c>
      <c r="G86" s="2">
        <v>60</v>
      </c>
      <c r="H86" t="s">
        <v>20</v>
      </c>
      <c r="I86" t="s">
        <v>23</v>
      </c>
      <c r="J86" t="s">
        <v>14</v>
      </c>
    </row>
    <row r="87" spans="1:10" x14ac:dyDescent="0.35">
      <c r="A87">
        <v>86</v>
      </c>
      <c r="B87" s="1">
        <v>44994</v>
      </c>
      <c r="C87" t="s">
        <v>10</v>
      </c>
      <c r="D87" t="s">
        <v>11</v>
      </c>
      <c r="E87" s="2">
        <v>20</v>
      </c>
      <c r="F87">
        <v>15</v>
      </c>
      <c r="G87" s="2">
        <v>300</v>
      </c>
      <c r="H87" t="s">
        <v>16</v>
      </c>
      <c r="I87" t="s">
        <v>13</v>
      </c>
      <c r="J87" t="s">
        <v>24</v>
      </c>
    </row>
    <row r="88" spans="1:10" x14ac:dyDescent="0.35">
      <c r="A88">
        <v>87</v>
      </c>
      <c r="B88" s="1">
        <v>44710</v>
      </c>
      <c r="C88" t="s">
        <v>10</v>
      </c>
      <c r="D88" t="s">
        <v>11</v>
      </c>
      <c r="E88" s="2">
        <v>20</v>
      </c>
      <c r="F88">
        <v>8</v>
      </c>
      <c r="G88" s="2">
        <v>160</v>
      </c>
      <c r="H88" t="s">
        <v>16</v>
      </c>
      <c r="I88" t="s">
        <v>13</v>
      </c>
      <c r="J88" t="s">
        <v>14</v>
      </c>
    </row>
    <row r="89" spans="1:10" x14ac:dyDescent="0.35">
      <c r="A89">
        <v>88</v>
      </c>
      <c r="B89" s="1">
        <v>44749</v>
      </c>
      <c r="C89" t="s">
        <v>28</v>
      </c>
      <c r="D89" t="s">
        <v>19</v>
      </c>
      <c r="E89" s="2">
        <v>40</v>
      </c>
      <c r="F89">
        <v>10</v>
      </c>
      <c r="G89" s="2">
        <v>400</v>
      </c>
      <c r="H89" t="s">
        <v>16</v>
      </c>
      <c r="I89" t="s">
        <v>13</v>
      </c>
      <c r="J89" t="s">
        <v>21</v>
      </c>
    </row>
    <row r="90" spans="1:10" x14ac:dyDescent="0.35">
      <c r="A90">
        <v>89</v>
      </c>
      <c r="B90" s="1">
        <v>44918</v>
      </c>
      <c r="C90" t="s">
        <v>10</v>
      </c>
      <c r="D90" t="s">
        <v>11</v>
      </c>
      <c r="E90" s="2">
        <v>20</v>
      </c>
      <c r="F90">
        <v>14</v>
      </c>
      <c r="G90" s="2">
        <v>280</v>
      </c>
      <c r="H90" t="s">
        <v>16</v>
      </c>
      <c r="I90" t="s">
        <v>13</v>
      </c>
      <c r="J90" t="s">
        <v>21</v>
      </c>
    </row>
    <row r="91" spans="1:10" x14ac:dyDescent="0.35">
      <c r="A91">
        <v>90</v>
      </c>
      <c r="B91" s="1">
        <v>44863</v>
      </c>
      <c r="C91" t="s">
        <v>15</v>
      </c>
      <c r="D91" t="s">
        <v>11</v>
      </c>
      <c r="E91" s="2">
        <v>20</v>
      </c>
      <c r="F91">
        <v>15</v>
      </c>
      <c r="G91" s="2">
        <v>300</v>
      </c>
      <c r="H91" t="s">
        <v>20</v>
      </c>
      <c r="I91" t="s">
        <v>13</v>
      </c>
      <c r="J91" t="s">
        <v>14</v>
      </c>
    </row>
    <row r="92" spans="1:10" x14ac:dyDescent="0.35">
      <c r="A92">
        <v>91</v>
      </c>
      <c r="B92" s="1">
        <v>45007</v>
      </c>
      <c r="C92" t="s">
        <v>28</v>
      </c>
      <c r="D92" t="s">
        <v>19</v>
      </c>
      <c r="E92" s="2">
        <v>40</v>
      </c>
      <c r="F92">
        <v>6</v>
      </c>
      <c r="G92" s="2">
        <v>240</v>
      </c>
      <c r="H92" t="s">
        <v>12</v>
      </c>
      <c r="I92" t="s">
        <v>23</v>
      </c>
      <c r="J92" t="s">
        <v>21</v>
      </c>
    </row>
    <row r="93" spans="1:10" x14ac:dyDescent="0.35">
      <c r="A93">
        <v>92</v>
      </c>
      <c r="B93" s="1">
        <v>44694</v>
      </c>
      <c r="C93" t="s">
        <v>10</v>
      </c>
      <c r="D93" t="s">
        <v>11</v>
      </c>
      <c r="E93" s="2">
        <v>20</v>
      </c>
      <c r="F93">
        <v>15</v>
      </c>
      <c r="G93" s="2">
        <v>300</v>
      </c>
      <c r="H93" t="s">
        <v>16</v>
      </c>
      <c r="I93" t="s">
        <v>13</v>
      </c>
      <c r="J93" t="s">
        <v>17</v>
      </c>
    </row>
    <row r="94" spans="1:10" x14ac:dyDescent="0.35">
      <c r="A94">
        <v>93</v>
      </c>
      <c r="B94" s="1">
        <v>44745</v>
      </c>
      <c r="C94" t="s">
        <v>28</v>
      </c>
      <c r="D94" t="s">
        <v>19</v>
      </c>
      <c r="E94" s="2">
        <v>40</v>
      </c>
      <c r="F94">
        <v>2</v>
      </c>
      <c r="G94" s="2">
        <v>80</v>
      </c>
      <c r="H94" t="s">
        <v>20</v>
      </c>
      <c r="I94" t="s">
        <v>23</v>
      </c>
      <c r="J94" t="s">
        <v>27</v>
      </c>
    </row>
    <row r="95" spans="1:10" x14ac:dyDescent="0.35">
      <c r="A95">
        <v>94</v>
      </c>
      <c r="B95" s="1">
        <v>44818</v>
      </c>
      <c r="C95" t="s">
        <v>10</v>
      </c>
      <c r="D95" t="s">
        <v>11</v>
      </c>
      <c r="E95" s="2">
        <v>20</v>
      </c>
      <c r="F95">
        <v>15</v>
      </c>
      <c r="G95" s="2">
        <v>300</v>
      </c>
      <c r="H95" t="s">
        <v>12</v>
      </c>
      <c r="I95" t="s">
        <v>23</v>
      </c>
      <c r="J95" t="s">
        <v>14</v>
      </c>
    </row>
    <row r="96" spans="1:10" x14ac:dyDescent="0.35">
      <c r="A96">
        <v>95</v>
      </c>
      <c r="B96" s="1">
        <v>44693</v>
      </c>
      <c r="C96" t="s">
        <v>18</v>
      </c>
      <c r="D96" t="s">
        <v>19</v>
      </c>
      <c r="E96" s="2">
        <v>25</v>
      </c>
      <c r="F96">
        <v>8</v>
      </c>
      <c r="G96" s="2">
        <v>200</v>
      </c>
      <c r="H96" t="s">
        <v>20</v>
      </c>
      <c r="I96" t="s">
        <v>13</v>
      </c>
      <c r="J96" t="s">
        <v>14</v>
      </c>
    </row>
    <row r="97" spans="1:10" x14ac:dyDescent="0.35">
      <c r="A97">
        <v>96</v>
      </c>
      <c r="B97" s="1">
        <v>44795</v>
      </c>
      <c r="C97" t="s">
        <v>26</v>
      </c>
      <c r="D97" t="s">
        <v>11</v>
      </c>
      <c r="E97" s="2">
        <v>60</v>
      </c>
      <c r="F97">
        <v>15</v>
      </c>
      <c r="G97" s="2">
        <v>900</v>
      </c>
      <c r="H97" t="s">
        <v>12</v>
      </c>
      <c r="I97" t="s">
        <v>13</v>
      </c>
      <c r="J97" t="s">
        <v>24</v>
      </c>
    </row>
    <row r="98" spans="1:10" x14ac:dyDescent="0.35">
      <c r="A98">
        <v>97</v>
      </c>
      <c r="B98" s="1">
        <v>45014</v>
      </c>
      <c r="C98" t="s">
        <v>28</v>
      </c>
      <c r="D98" t="s">
        <v>19</v>
      </c>
      <c r="E98" s="2">
        <v>40</v>
      </c>
      <c r="F98">
        <v>13</v>
      </c>
      <c r="G98" s="2">
        <v>520</v>
      </c>
      <c r="H98" t="s">
        <v>20</v>
      </c>
      <c r="I98" t="s">
        <v>13</v>
      </c>
      <c r="J98" t="s">
        <v>21</v>
      </c>
    </row>
    <row r="99" spans="1:10" x14ac:dyDescent="0.35">
      <c r="A99">
        <v>98</v>
      </c>
      <c r="B99" s="1">
        <v>44919</v>
      </c>
      <c r="C99" t="s">
        <v>15</v>
      </c>
      <c r="D99" t="s">
        <v>11</v>
      </c>
      <c r="E99" s="2">
        <v>20</v>
      </c>
      <c r="F99">
        <v>1</v>
      </c>
      <c r="G99" s="2">
        <v>20</v>
      </c>
      <c r="H99" t="s">
        <v>20</v>
      </c>
      <c r="I99" t="s">
        <v>13</v>
      </c>
      <c r="J99" t="s">
        <v>24</v>
      </c>
    </row>
    <row r="100" spans="1:10" x14ac:dyDescent="0.35">
      <c r="A100">
        <v>99</v>
      </c>
      <c r="B100" s="1">
        <v>44815</v>
      </c>
      <c r="C100" t="s">
        <v>18</v>
      </c>
      <c r="D100" t="s">
        <v>19</v>
      </c>
      <c r="E100" s="2">
        <v>25</v>
      </c>
      <c r="F100">
        <v>3</v>
      </c>
      <c r="G100" s="2">
        <v>75</v>
      </c>
      <c r="H100" t="s">
        <v>16</v>
      </c>
      <c r="I100" t="s">
        <v>13</v>
      </c>
      <c r="J100" t="s">
        <v>21</v>
      </c>
    </row>
    <row r="101" spans="1:10" x14ac:dyDescent="0.35">
      <c r="A101">
        <v>100</v>
      </c>
      <c r="B101" s="1">
        <v>44689</v>
      </c>
      <c r="C101" t="s">
        <v>22</v>
      </c>
      <c r="D101" t="s">
        <v>11</v>
      </c>
      <c r="E101" s="2">
        <v>20</v>
      </c>
      <c r="F101">
        <v>11</v>
      </c>
      <c r="G101" s="2">
        <v>220</v>
      </c>
      <c r="H101" t="s">
        <v>12</v>
      </c>
      <c r="I101" t="s">
        <v>13</v>
      </c>
      <c r="J101" t="s">
        <v>24</v>
      </c>
    </row>
    <row r="102" spans="1:10" x14ac:dyDescent="0.35">
      <c r="A102">
        <v>101</v>
      </c>
      <c r="B102" s="1">
        <v>45011</v>
      </c>
      <c r="C102" t="s">
        <v>15</v>
      </c>
      <c r="D102" t="s">
        <v>11</v>
      </c>
      <c r="E102" s="2">
        <v>20</v>
      </c>
      <c r="F102">
        <v>3</v>
      </c>
      <c r="G102" s="2">
        <v>60</v>
      </c>
      <c r="H102" t="s">
        <v>20</v>
      </c>
      <c r="I102" t="s">
        <v>23</v>
      </c>
      <c r="J102" t="s">
        <v>24</v>
      </c>
    </row>
    <row r="103" spans="1:10" x14ac:dyDescent="0.35">
      <c r="A103">
        <v>102</v>
      </c>
      <c r="B103" s="1">
        <v>44998</v>
      </c>
      <c r="C103" t="s">
        <v>28</v>
      </c>
      <c r="D103" t="s">
        <v>19</v>
      </c>
      <c r="E103" s="2">
        <v>40</v>
      </c>
      <c r="F103">
        <v>14</v>
      </c>
      <c r="G103" s="2">
        <v>560</v>
      </c>
      <c r="H103" t="s">
        <v>16</v>
      </c>
      <c r="I103" t="s">
        <v>13</v>
      </c>
      <c r="J103" t="s">
        <v>24</v>
      </c>
    </row>
    <row r="104" spans="1:10" x14ac:dyDescent="0.35">
      <c r="A104">
        <v>103</v>
      </c>
      <c r="B104" s="1">
        <v>44999</v>
      </c>
      <c r="C104" t="s">
        <v>28</v>
      </c>
      <c r="D104" t="s">
        <v>19</v>
      </c>
      <c r="E104" s="2">
        <v>40</v>
      </c>
      <c r="F104">
        <v>8</v>
      </c>
      <c r="G104" s="2">
        <v>320</v>
      </c>
      <c r="H104" t="s">
        <v>20</v>
      </c>
      <c r="I104" t="s">
        <v>23</v>
      </c>
      <c r="J104" t="s">
        <v>27</v>
      </c>
    </row>
    <row r="105" spans="1:10" x14ac:dyDescent="0.35">
      <c r="A105">
        <v>104</v>
      </c>
      <c r="B105" s="1">
        <v>44861</v>
      </c>
      <c r="C105" t="s">
        <v>28</v>
      </c>
      <c r="D105" t="s">
        <v>19</v>
      </c>
      <c r="E105" s="2">
        <v>40</v>
      </c>
      <c r="F105">
        <v>13</v>
      </c>
      <c r="G105" s="2">
        <v>520</v>
      </c>
      <c r="H105" t="s">
        <v>20</v>
      </c>
      <c r="I105" t="s">
        <v>13</v>
      </c>
      <c r="J105" t="s">
        <v>24</v>
      </c>
    </row>
    <row r="106" spans="1:10" x14ac:dyDescent="0.35">
      <c r="A106">
        <v>105</v>
      </c>
      <c r="B106" s="1">
        <v>44951</v>
      </c>
      <c r="C106" t="s">
        <v>22</v>
      </c>
      <c r="D106" t="s">
        <v>11</v>
      </c>
      <c r="E106" s="2">
        <v>20</v>
      </c>
      <c r="F106">
        <v>8</v>
      </c>
      <c r="G106" s="2">
        <v>160</v>
      </c>
      <c r="H106" t="s">
        <v>16</v>
      </c>
      <c r="I106" t="s">
        <v>23</v>
      </c>
      <c r="J106" t="s">
        <v>21</v>
      </c>
    </row>
    <row r="107" spans="1:10" x14ac:dyDescent="0.35">
      <c r="A107">
        <v>106</v>
      </c>
      <c r="B107" s="1">
        <v>44982</v>
      </c>
      <c r="C107" t="s">
        <v>25</v>
      </c>
      <c r="D107" t="s">
        <v>11</v>
      </c>
      <c r="E107" s="2">
        <v>50</v>
      </c>
      <c r="F107">
        <v>9</v>
      </c>
      <c r="G107" s="2">
        <v>450</v>
      </c>
      <c r="H107" t="s">
        <v>16</v>
      </c>
      <c r="I107" t="s">
        <v>23</v>
      </c>
      <c r="J107" t="s">
        <v>21</v>
      </c>
    </row>
    <row r="108" spans="1:10" x14ac:dyDescent="0.35">
      <c r="A108">
        <v>107</v>
      </c>
      <c r="B108" s="1">
        <v>44964</v>
      </c>
      <c r="C108" t="s">
        <v>26</v>
      </c>
      <c r="D108" t="s">
        <v>11</v>
      </c>
      <c r="E108" s="2">
        <v>60</v>
      </c>
      <c r="F108">
        <v>4</v>
      </c>
      <c r="G108" s="2">
        <v>240</v>
      </c>
      <c r="H108" t="s">
        <v>20</v>
      </c>
      <c r="I108" t="s">
        <v>13</v>
      </c>
      <c r="J108" t="s">
        <v>17</v>
      </c>
    </row>
    <row r="109" spans="1:10" x14ac:dyDescent="0.35">
      <c r="A109">
        <v>108</v>
      </c>
      <c r="B109" s="1">
        <v>44779</v>
      </c>
      <c r="C109" t="s">
        <v>22</v>
      </c>
      <c r="D109" t="s">
        <v>11</v>
      </c>
      <c r="E109" s="2">
        <v>20</v>
      </c>
      <c r="F109">
        <v>5</v>
      </c>
      <c r="G109" s="2">
        <v>100</v>
      </c>
      <c r="H109" t="s">
        <v>20</v>
      </c>
      <c r="I109" t="s">
        <v>13</v>
      </c>
      <c r="J109" t="s">
        <v>17</v>
      </c>
    </row>
    <row r="110" spans="1:10" x14ac:dyDescent="0.35">
      <c r="A110">
        <v>109</v>
      </c>
      <c r="B110" s="1">
        <v>44781</v>
      </c>
      <c r="C110" t="s">
        <v>28</v>
      </c>
      <c r="D110" t="s">
        <v>19</v>
      </c>
      <c r="E110" s="2">
        <v>40</v>
      </c>
      <c r="F110">
        <v>12</v>
      </c>
      <c r="G110" s="2">
        <v>480</v>
      </c>
      <c r="H110" t="s">
        <v>12</v>
      </c>
      <c r="I110" t="s">
        <v>13</v>
      </c>
      <c r="J110" t="s">
        <v>17</v>
      </c>
    </row>
    <row r="111" spans="1:10" x14ac:dyDescent="0.35">
      <c r="A111">
        <v>110</v>
      </c>
      <c r="B111" s="1">
        <v>44881</v>
      </c>
      <c r="C111" t="s">
        <v>22</v>
      </c>
      <c r="D111" t="s">
        <v>11</v>
      </c>
      <c r="E111" s="2">
        <v>20</v>
      </c>
      <c r="F111">
        <v>2</v>
      </c>
      <c r="G111" s="2">
        <v>40</v>
      </c>
      <c r="H111" t="s">
        <v>20</v>
      </c>
      <c r="I111" t="s">
        <v>23</v>
      </c>
      <c r="J111" t="s">
        <v>24</v>
      </c>
    </row>
    <row r="112" spans="1:10" x14ac:dyDescent="0.35">
      <c r="A112">
        <v>111</v>
      </c>
      <c r="B112" s="1">
        <v>44808</v>
      </c>
      <c r="C112" t="s">
        <v>26</v>
      </c>
      <c r="D112" t="s">
        <v>11</v>
      </c>
      <c r="E112" s="2">
        <v>60</v>
      </c>
      <c r="F112">
        <v>8</v>
      </c>
      <c r="G112" s="2">
        <v>480</v>
      </c>
      <c r="H112" t="s">
        <v>16</v>
      </c>
      <c r="I112" t="s">
        <v>23</v>
      </c>
      <c r="J112" t="s">
        <v>27</v>
      </c>
    </row>
    <row r="113" spans="1:10" x14ac:dyDescent="0.35">
      <c r="A113">
        <v>112</v>
      </c>
      <c r="B113" s="1">
        <v>44981</v>
      </c>
      <c r="C113" t="s">
        <v>26</v>
      </c>
      <c r="D113" t="s">
        <v>11</v>
      </c>
      <c r="E113" s="2">
        <v>60</v>
      </c>
      <c r="F113">
        <v>7</v>
      </c>
      <c r="G113" s="2">
        <v>420</v>
      </c>
      <c r="H113" t="s">
        <v>16</v>
      </c>
      <c r="I113" t="s">
        <v>13</v>
      </c>
      <c r="J113" t="s">
        <v>24</v>
      </c>
    </row>
    <row r="114" spans="1:10" x14ac:dyDescent="0.35">
      <c r="A114">
        <v>113</v>
      </c>
      <c r="B114" s="1">
        <v>44907</v>
      </c>
      <c r="C114" t="s">
        <v>10</v>
      </c>
      <c r="D114" t="s">
        <v>11</v>
      </c>
      <c r="E114" s="2">
        <v>20</v>
      </c>
      <c r="F114">
        <v>8</v>
      </c>
      <c r="G114" s="2">
        <v>160</v>
      </c>
      <c r="H114" t="s">
        <v>16</v>
      </c>
      <c r="I114" t="s">
        <v>13</v>
      </c>
      <c r="J114" t="s">
        <v>17</v>
      </c>
    </row>
    <row r="115" spans="1:10" x14ac:dyDescent="0.35">
      <c r="A115">
        <v>114</v>
      </c>
      <c r="B115" s="1">
        <v>44787</v>
      </c>
      <c r="C115" t="s">
        <v>10</v>
      </c>
      <c r="D115" t="s">
        <v>11</v>
      </c>
      <c r="E115" s="2">
        <v>20</v>
      </c>
      <c r="F115">
        <v>10</v>
      </c>
      <c r="G115" s="2">
        <v>200</v>
      </c>
      <c r="H115" t="s">
        <v>20</v>
      </c>
      <c r="I115" t="s">
        <v>13</v>
      </c>
      <c r="J115" t="s">
        <v>17</v>
      </c>
    </row>
    <row r="116" spans="1:10" x14ac:dyDescent="0.35">
      <c r="A116">
        <v>115</v>
      </c>
      <c r="B116" s="1">
        <v>44938</v>
      </c>
      <c r="C116" t="s">
        <v>10</v>
      </c>
      <c r="D116" t="s">
        <v>11</v>
      </c>
      <c r="E116" s="2">
        <v>20</v>
      </c>
      <c r="F116">
        <v>13</v>
      </c>
      <c r="G116" s="2">
        <v>260</v>
      </c>
      <c r="H116" t="s">
        <v>12</v>
      </c>
      <c r="I116" t="s">
        <v>13</v>
      </c>
      <c r="J116" t="s">
        <v>21</v>
      </c>
    </row>
    <row r="117" spans="1:10" x14ac:dyDescent="0.35">
      <c r="A117">
        <v>116</v>
      </c>
      <c r="B117" s="1">
        <v>44799</v>
      </c>
      <c r="C117" t="s">
        <v>18</v>
      </c>
      <c r="D117" t="s">
        <v>19</v>
      </c>
      <c r="E117" s="2">
        <v>25</v>
      </c>
      <c r="F117">
        <v>13</v>
      </c>
      <c r="G117" s="2">
        <v>325</v>
      </c>
      <c r="H117" t="s">
        <v>16</v>
      </c>
      <c r="I117" t="s">
        <v>13</v>
      </c>
      <c r="J117" t="s">
        <v>21</v>
      </c>
    </row>
    <row r="118" spans="1:10" x14ac:dyDescent="0.35">
      <c r="A118">
        <v>117</v>
      </c>
      <c r="B118" s="1">
        <v>44994</v>
      </c>
      <c r="C118" t="s">
        <v>25</v>
      </c>
      <c r="D118" t="s">
        <v>11</v>
      </c>
      <c r="E118" s="2">
        <v>50</v>
      </c>
      <c r="F118">
        <v>7</v>
      </c>
      <c r="G118" s="2">
        <v>350</v>
      </c>
      <c r="H118" t="s">
        <v>20</v>
      </c>
      <c r="I118" t="s">
        <v>23</v>
      </c>
      <c r="J118" t="s">
        <v>21</v>
      </c>
    </row>
    <row r="119" spans="1:10" x14ac:dyDescent="0.35">
      <c r="A119">
        <v>118</v>
      </c>
      <c r="B119" s="1">
        <v>44748</v>
      </c>
      <c r="C119" t="s">
        <v>26</v>
      </c>
      <c r="D119" t="s">
        <v>11</v>
      </c>
      <c r="E119" s="2">
        <v>60</v>
      </c>
      <c r="F119">
        <v>1</v>
      </c>
      <c r="G119" s="2">
        <v>60</v>
      </c>
      <c r="H119" t="s">
        <v>20</v>
      </c>
      <c r="I119" t="s">
        <v>13</v>
      </c>
      <c r="J119" t="s">
        <v>27</v>
      </c>
    </row>
    <row r="120" spans="1:10" x14ac:dyDescent="0.35">
      <c r="A120">
        <v>119</v>
      </c>
      <c r="B120" s="1">
        <v>44693</v>
      </c>
      <c r="C120" t="s">
        <v>22</v>
      </c>
      <c r="D120" t="s">
        <v>11</v>
      </c>
      <c r="E120" s="2">
        <v>20</v>
      </c>
      <c r="F120">
        <v>10</v>
      </c>
      <c r="G120" s="2">
        <v>200</v>
      </c>
      <c r="H120" t="s">
        <v>16</v>
      </c>
      <c r="I120" t="s">
        <v>13</v>
      </c>
      <c r="J120" t="s">
        <v>21</v>
      </c>
    </row>
    <row r="121" spans="1:10" x14ac:dyDescent="0.35">
      <c r="A121">
        <v>120</v>
      </c>
      <c r="B121" s="1">
        <v>44752</v>
      </c>
      <c r="C121" t="s">
        <v>25</v>
      </c>
      <c r="D121" t="s">
        <v>11</v>
      </c>
      <c r="E121" s="2">
        <v>50</v>
      </c>
      <c r="F121">
        <v>2</v>
      </c>
      <c r="G121" s="2">
        <v>100</v>
      </c>
      <c r="H121" t="s">
        <v>16</v>
      </c>
      <c r="I121" t="s">
        <v>23</v>
      </c>
      <c r="J121" t="s">
        <v>21</v>
      </c>
    </row>
    <row r="122" spans="1:10" x14ac:dyDescent="0.35">
      <c r="A122">
        <v>121</v>
      </c>
      <c r="B122" s="1">
        <v>44799</v>
      </c>
      <c r="C122" t="s">
        <v>28</v>
      </c>
      <c r="D122" t="s">
        <v>19</v>
      </c>
      <c r="E122" s="2">
        <v>40</v>
      </c>
      <c r="F122">
        <v>8</v>
      </c>
      <c r="G122" s="2">
        <v>320</v>
      </c>
      <c r="H122" t="s">
        <v>16</v>
      </c>
      <c r="I122" t="s">
        <v>13</v>
      </c>
      <c r="J122" t="s">
        <v>17</v>
      </c>
    </row>
    <row r="123" spans="1:10" x14ac:dyDescent="0.35">
      <c r="A123">
        <v>122</v>
      </c>
      <c r="B123" s="1">
        <v>44675</v>
      </c>
      <c r="C123" t="s">
        <v>22</v>
      </c>
      <c r="D123" t="s">
        <v>11</v>
      </c>
      <c r="E123" s="2">
        <v>20</v>
      </c>
      <c r="F123">
        <v>3</v>
      </c>
      <c r="G123" s="2">
        <v>60</v>
      </c>
      <c r="H123" t="s">
        <v>12</v>
      </c>
      <c r="I123" t="s">
        <v>23</v>
      </c>
      <c r="J123" t="s">
        <v>14</v>
      </c>
    </row>
    <row r="124" spans="1:10" x14ac:dyDescent="0.35">
      <c r="A124">
        <v>123</v>
      </c>
      <c r="B124" s="1">
        <v>44721</v>
      </c>
      <c r="C124" t="s">
        <v>28</v>
      </c>
      <c r="D124" t="s">
        <v>19</v>
      </c>
      <c r="E124" s="2">
        <v>40</v>
      </c>
      <c r="F124">
        <v>6</v>
      </c>
      <c r="G124" s="2">
        <v>240</v>
      </c>
      <c r="H124" t="s">
        <v>20</v>
      </c>
      <c r="I124" t="s">
        <v>13</v>
      </c>
      <c r="J124" t="s">
        <v>21</v>
      </c>
    </row>
    <row r="125" spans="1:10" x14ac:dyDescent="0.35">
      <c r="A125">
        <v>124</v>
      </c>
      <c r="B125" s="1">
        <v>44848</v>
      </c>
      <c r="C125" t="s">
        <v>18</v>
      </c>
      <c r="D125" t="s">
        <v>19</v>
      </c>
      <c r="E125" s="2">
        <v>25</v>
      </c>
      <c r="F125">
        <v>13</v>
      </c>
      <c r="G125" s="2">
        <v>325</v>
      </c>
      <c r="H125" t="s">
        <v>12</v>
      </c>
      <c r="I125" t="s">
        <v>23</v>
      </c>
      <c r="J125" t="s">
        <v>21</v>
      </c>
    </row>
    <row r="126" spans="1:10" x14ac:dyDescent="0.35">
      <c r="A126">
        <v>125</v>
      </c>
      <c r="B126" s="1">
        <v>44661</v>
      </c>
      <c r="C126" t="s">
        <v>15</v>
      </c>
      <c r="D126" t="s">
        <v>11</v>
      </c>
      <c r="E126" s="2">
        <v>20</v>
      </c>
      <c r="F126">
        <v>7</v>
      </c>
      <c r="G126" s="2">
        <v>140</v>
      </c>
      <c r="H126" t="s">
        <v>16</v>
      </c>
      <c r="I126" t="s">
        <v>23</v>
      </c>
      <c r="J126" t="s">
        <v>27</v>
      </c>
    </row>
    <row r="127" spans="1:10" x14ac:dyDescent="0.35">
      <c r="A127">
        <v>126</v>
      </c>
      <c r="B127" s="1">
        <v>44659</v>
      </c>
      <c r="C127" t="s">
        <v>22</v>
      </c>
      <c r="D127" t="s">
        <v>11</v>
      </c>
      <c r="E127" s="2">
        <v>20</v>
      </c>
      <c r="F127">
        <v>11</v>
      </c>
      <c r="G127" s="2">
        <v>220</v>
      </c>
      <c r="H127" t="s">
        <v>20</v>
      </c>
      <c r="I127" t="s">
        <v>23</v>
      </c>
      <c r="J127" t="s">
        <v>14</v>
      </c>
    </row>
    <row r="128" spans="1:10" x14ac:dyDescent="0.35">
      <c r="A128">
        <v>127</v>
      </c>
      <c r="B128" s="1">
        <v>44898</v>
      </c>
      <c r="C128" t="s">
        <v>10</v>
      </c>
      <c r="D128" t="s">
        <v>11</v>
      </c>
      <c r="E128" s="2">
        <v>20</v>
      </c>
      <c r="F128">
        <v>1</v>
      </c>
      <c r="G128" s="2">
        <v>20</v>
      </c>
      <c r="H128" t="s">
        <v>12</v>
      </c>
      <c r="I128" t="s">
        <v>23</v>
      </c>
      <c r="J128" t="s">
        <v>24</v>
      </c>
    </row>
    <row r="129" spans="1:10" x14ac:dyDescent="0.35">
      <c r="A129">
        <v>128</v>
      </c>
      <c r="B129" s="1">
        <v>44780</v>
      </c>
      <c r="C129" t="s">
        <v>15</v>
      </c>
      <c r="D129" t="s">
        <v>11</v>
      </c>
      <c r="E129" s="2">
        <v>20</v>
      </c>
      <c r="F129">
        <v>11</v>
      </c>
      <c r="G129" s="2">
        <v>220</v>
      </c>
      <c r="H129" t="s">
        <v>20</v>
      </c>
      <c r="I129" t="s">
        <v>13</v>
      </c>
      <c r="J129" t="s">
        <v>27</v>
      </c>
    </row>
    <row r="130" spans="1:10" x14ac:dyDescent="0.35">
      <c r="A130">
        <v>129</v>
      </c>
      <c r="B130" s="1">
        <v>44853</v>
      </c>
      <c r="C130" t="s">
        <v>22</v>
      </c>
      <c r="D130" t="s">
        <v>11</v>
      </c>
      <c r="E130" s="2">
        <v>20</v>
      </c>
      <c r="F130">
        <v>13</v>
      </c>
      <c r="G130" s="2">
        <v>260</v>
      </c>
      <c r="H130" t="s">
        <v>16</v>
      </c>
      <c r="I130" t="s">
        <v>23</v>
      </c>
      <c r="J130" t="s">
        <v>24</v>
      </c>
    </row>
    <row r="131" spans="1:10" x14ac:dyDescent="0.35">
      <c r="A131">
        <v>130</v>
      </c>
      <c r="B131" s="1">
        <v>44923</v>
      </c>
      <c r="C131" t="s">
        <v>18</v>
      </c>
      <c r="D131" t="s">
        <v>19</v>
      </c>
      <c r="E131" s="2">
        <v>25</v>
      </c>
      <c r="F131">
        <v>7</v>
      </c>
      <c r="G131" s="2">
        <v>175</v>
      </c>
      <c r="H131" t="s">
        <v>16</v>
      </c>
      <c r="I131" t="s">
        <v>13</v>
      </c>
      <c r="J131" t="s">
        <v>14</v>
      </c>
    </row>
    <row r="132" spans="1:10" x14ac:dyDescent="0.35">
      <c r="A132">
        <v>131</v>
      </c>
      <c r="B132" s="1">
        <v>44945</v>
      </c>
      <c r="C132" t="s">
        <v>26</v>
      </c>
      <c r="D132" t="s">
        <v>11</v>
      </c>
      <c r="E132" s="2">
        <v>60</v>
      </c>
      <c r="F132">
        <v>8</v>
      </c>
      <c r="G132" s="2">
        <v>480</v>
      </c>
      <c r="H132" t="s">
        <v>16</v>
      </c>
      <c r="I132" t="s">
        <v>13</v>
      </c>
      <c r="J132" t="s">
        <v>14</v>
      </c>
    </row>
    <row r="133" spans="1:10" x14ac:dyDescent="0.35">
      <c r="A133">
        <v>132</v>
      </c>
      <c r="B133" s="1">
        <v>44900</v>
      </c>
      <c r="C133" t="s">
        <v>15</v>
      </c>
      <c r="D133" t="s">
        <v>11</v>
      </c>
      <c r="E133" s="2">
        <v>20</v>
      </c>
      <c r="F133">
        <v>4</v>
      </c>
      <c r="G133" s="2">
        <v>80</v>
      </c>
      <c r="H133" t="s">
        <v>20</v>
      </c>
      <c r="I133" t="s">
        <v>23</v>
      </c>
      <c r="J133" t="s">
        <v>14</v>
      </c>
    </row>
    <row r="134" spans="1:10" x14ac:dyDescent="0.35">
      <c r="A134">
        <v>133</v>
      </c>
      <c r="B134" s="1">
        <v>44915</v>
      </c>
      <c r="C134" t="s">
        <v>10</v>
      </c>
      <c r="D134" t="s">
        <v>11</v>
      </c>
      <c r="E134" s="2">
        <v>20</v>
      </c>
      <c r="F134">
        <v>5</v>
      </c>
      <c r="G134" s="2">
        <v>100</v>
      </c>
      <c r="H134" t="s">
        <v>20</v>
      </c>
      <c r="I134" t="s">
        <v>13</v>
      </c>
      <c r="J134" t="s">
        <v>27</v>
      </c>
    </row>
    <row r="135" spans="1:10" x14ac:dyDescent="0.35">
      <c r="A135">
        <v>134</v>
      </c>
      <c r="B135" s="1">
        <v>44759</v>
      </c>
      <c r="C135" t="s">
        <v>10</v>
      </c>
      <c r="D135" t="s">
        <v>11</v>
      </c>
      <c r="E135" s="2">
        <v>20</v>
      </c>
      <c r="F135">
        <v>12</v>
      </c>
      <c r="G135" s="2">
        <v>240</v>
      </c>
      <c r="H135" t="s">
        <v>20</v>
      </c>
      <c r="I135" t="s">
        <v>23</v>
      </c>
      <c r="J135" t="s">
        <v>14</v>
      </c>
    </row>
    <row r="136" spans="1:10" x14ac:dyDescent="0.35">
      <c r="A136">
        <v>135</v>
      </c>
      <c r="B136" s="1">
        <v>44940</v>
      </c>
      <c r="C136" t="s">
        <v>10</v>
      </c>
      <c r="D136" t="s">
        <v>11</v>
      </c>
      <c r="E136" s="2">
        <v>20</v>
      </c>
      <c r="F136">
        <v>8</v>
      </c>
      <c r="G136" s="2">
        <v>160</v>
      </c>
      <c r="H136" t="s">
        <v>20</v>
      </c>
      <c r="I136" t="s">
        <v>13</v>
      </c>
      <c r="J136" t="s">
        <v>27</v>
      </c>
    </row>
    <row r="137" spans="1:10" x14ac:dyDescent="0.35">
      <c r="A137">
        <v>136</v>
      </c>
      <c r="B137" s="1">
        <v>44797</v>
      </c>
      <c r="C137" t="s">
        <v>10</v>
      </c>
      <c r="D137" t="s">
        <v>11</v>
      </c>
      <c r="E137" s="2">
        <v>20</v>
      </c>
      <c r="F137">
        <v>15</v>
      </c>
      <c r="G137" s="2">
        <v>300</v>
      </c>
      <c r="H137" t="s">
        <v>20</v>
      </c>
      <c r="I137" t="s">
        <v>13</v>
      </c>
      <c r="J137" t="s">
        <v>24</v>
      </c>
    </row>
    <row r="138" spans="1:10" x14ac:dyDescent="0.35">
      <c r="A138">
        <v>137</v>
      </c>
      <c r="B138" s="1">
        <v>45004</v>
      </c>
      <c r="C138" t="s">
        <v>18</v>
      </c>
      <c r="D138" t="s">
        <v>19</v>
      </c>
      <c r="E138" s="2">
        <v>25</v>
      </c>
      <c r="F138">
        <v>6</v>
      </c>
      <c r="G138" s="2">
        <v>150</v>
      </c>
      <c r="H138" t="s">
        <v>12</v>
      </c>
      <c r="I138" t="s">
        <v>13</v>
      </c>
      <c r="J138" t="s">
        <v>17</v>
      </c>
    </row>
    <row r="139" spans="1:10" x14ac:dyDescent="0.35">
      <c r="A139">
        <v>138</v>
      </c>
      <c r="B139" s="1">
        <v>44805</v>
      </c>
      <c r="C139" t="s">
        <v>26</v>
      </c>
      <c r="D139" t="s">
        <v>11</v>
      </c>
      <c r="E139" s="2">
        <v>60</v>
      </c>
      <c r="F139">
        <v>15</v>
      </c>
      <c r="G139" s="2">
        <v>900</v>
      </c>
      <c r="H139" t="s">
        <v>20</v>
      </c>
      <c r="I139" t="s">
        <v>13</v>
      </c>
      <c r="J139" t="s">
        <v>14</v>
      </c>
    </row>
    <row r="140" spans="1:10" x14ac:dyDescent="0.35">
      <c r="A140">
        <v>139</v>
      </c>
      <c r="B140" s="1">
        <v>44983</v>
      </c>
      <c r="C140" t="s">
        <v>25</v>
      </c>
      <c r="D140" t="s">
        <v>11</v>
      </c>
      <c r="E140" s="2">
        <v>50</v>
      </c>
      <c r="F140">
        <v>11</v>
      </c>
      <c r="G140" s="2">
        <v>550</v>
      </c>
      <c r="H140" t="s">
        <v>20</v>
      </c>
      <c r="I140" t="s">
        <v>23</v>
      </c>
      <c r="J140" t="s">
        <v>14</v>
      </c>
    </row>
    <row r="141" spans="1:10" x14ac:dyDescent="0.35">
      <c r="A141">
        <v>140</v>
      </c>
      <c r="B141" s="1">
        <v>44724</v>
      </c>
      <c r="C141" t="s">
        <v>25</v>
      </c>
      <c r="D141" t="s">
        <v>11</v>
      </c>
      <c r="E141" s="2">
        <v>50</v>
      </c>
      <c r="F141">
        <v>13</v>
      </c>
      <c r="G141" s="2">
        <v>650</v>
      </c>
      <c r="H141" t="s">
        <v>16</v>
      </c>
      <c r="I141" t="s">
        <v>13</v>
      </c>
      <c r="J141" t="s">
        <v>14</v>
      </c>
    </row>
    <row r="142" spans="1:10" x14ac:dyDescent="0.35">
      <c r="A142">
        <v>141</v>
      </c>
      <c r="B142" s="1">
        <v>44727</v>
      </c>
      <c r="C142" t="s">
        <v>10</v>
      </c>
      <c r="D142" t="s">
        <v>11</v>
      </c>
      <c r="E142" s="2">
        <v>20</v>
      </c>
      <c r="F142">
        <v>4</v>
      </c>
      <c r="G142" s="2">
        <v>80</v>
      </c>
      <c r="H142" t="s">
        <v>12</v>
      </c>
      <c r="I142" t="s">
        <v>13</v>
      </c>
      <c r="J142" t="s">
        <v>21</v>
      </c>
    </row>
    <row r="143" spans="1:10" x14ac:dyDescent="0.35">
      <c r="A143">
        <v>142</v>
      </c>
      <c r="B143" s="1">
        <v>44925</v>
      </c>
      <c r="C143" t="s">
        <v>18</v>
      </c>
      <c r="D143" t="s">
        <v>19</v>
      </c>
      <c r="E143" s="2">
        <v>25</v>
      </c>
      <c r="F143">
        <v>12</v>
      </c>
      <c r="G143" s="2">
        <v>300</v>
      </c>
      <c r="H143" t="s">
        <v>16</v>
      </c>
      <c r="I143" t="s">
        <v>23</v>
      </c>
      <c r="J143" t="s">
        <v>24</v>
      </c>
    </row>
    <row r="144" spans="1:10" x14ac:dyDescent="0.35">
      <c r="A144">
        <v>143</v>
      </c>
      <c r="B144" s="1">
        <v>44822</v>
      </c>
      <c r="C144" t="s">
        <v>25</v>
      </c>
      <c r="D144" t="s">
        <v>11</v>
      </c>
      <c r="E144" s="2">
        <v>50</v>
      </c>
      <c r="F144">
        <v>8</v>
      </c>
      <c r="G144" s="2">
        <v>400</v>
      </c>
      <c r="H144" t="s">
        <v>12</v>
      </c>
      <c r="I144" t="s">
        <v>23</v>
      </c>
      <c r="J144" t="s">
        <v>17</v>
      </c>
    </row>
    <row r="145" spans="1:10" x14ac:dyDescent="0.35">
      <c r="A145">
        <v>144</v>
      </c>
      <c r="B145" s="1">
        <v>44882</v>
      </c>
      <c r="C145" t="s">
        <v>22</v>
      </c>
      <c r="D145" t="s">
        <v>11</v>
      </c>
      <c r="E145" s="2">
        <v>20</v>
      </c>
      <c r="F145">
        <v>10</v>
      </c>
      <c r="G145" s="2">
        <v>200</v>
      </c>
      <c r="H145" t="s">
        <v>16</v>
      </c>
      <c r="I145" t="s">
        <v>23</v>
      </c>
      <c r="J145" t="s">
        <v>21</v>
      </c>
    </row>
    <row r="146" spans="1:10" x14ac:dyDescent="0.35">
      <c r="A146">
        <v>145</v>
      </c>
      <c r="B146" s="1">
        <v>44843</v>
      </c>
      <c r="C146" t="s">
        <v>26</v>
      </c>
      <c r="D146" t="s">
        <v>11</v>
      </c>
      <c r="E146" s="2">
        <v>60</v>
      </c>
      <c r="F146">
        <v>14</v>
      </c>
      <c r="G146" s="2">
        <v>840</v>
      </c>
      <c r="H146" t="s">
        <v>20</v>
      </c>
      <c r="I146" t="s">
        <v>13</v>
      </c>
      <c r="J146" t="s">
        <v>24</v>
      </c>
    </row>
    <row r="147" spans="1:10" x14ac:dyDescent="0.35">
      <c r="A147">
        <v>146</v>
      </c>
      <c r="B147" s="1">
        <v>44862</v>
      </c>
      <c r="C147" t="s">
        <v>25</v>
      </c>
      <c r="D147" t="s">
        <v>11</v>
      </c>
      <c r="E147" s="2">
        <v>50</v>
      </c>
      <c r="F147">
        <v>4</v>
      </c>
      <c r="G147" s="2">
        <v>200</v>
      </c>
      <c r="H147" t="s">
        <v>12</v>
      </c>
      <c r="I147" t="s">
        <v>23</v>
      </c>
      <c r="J147" t="s">
        <v>17</v>
      </c>
    </row>
    <row r="148" spans="1:10" x14ac:dyDescent="0.35">
      <c r="A148">
        <v>147</v>
      </c>
      <c r="B148" s="1">
        <v>44698</v>
      </c>
      <c r="C148" t="s">
        <v>22</v>
      </c>
      <c r="D148" t="s">
        <v>11</v>
      </c>
      <c r="E148" s="2">
        <v>20</v>
      </c>
      <c r="F148">
        <v>7</v>
      </c>
      <c r="G148" s="2">
        <v>140</v>
      </c>
      <c r="H148" t="s">
        <v>20</v>
      </c>
      <c r="I148" t="s">
        <v>13</v>
      </c>
      <c r="J148" t="s">
        <v>21</v>
      </c>
    </row>
    <row r="149" spans="1:10" x14ac:dyDescent="0.35">
      <c r="A149">
        <v>148</v>
      </c>
      <c r="B149" s="1">
        <v>45004</v>
      </c>
      <c r="C149" t="s">
        <v>26</v>
      </c>
      <c r="D149" t="s">
        <v>11</v>
      </c>
      <c r="E149" s="2">
        <v>60</v>
      </c>
      <c r="F149">
        <v>13</v>
      </c>
      <c r="G149" s="2">
        <v>780</v>
      </c>
      <c r="H149" t="s">
        <v>20</v>
      </c>
      <c r="I149" t="s">
        <v>13</v>
      </c>
      <c r="J149" t="s">
        <v>21</v>
      </c>
    </row>
    <row r="150" spans="1:10" x14ac:dyDescent="0.35">
      <c r="A150">
        <v>149</v>
      </c>
      <c r="B150" s="1">
        <v>44782</v>
      </c>
      <c r="C150" t="s">
        <v>26</v>
      </c>
      <c r="D150" t="s">
        <v>11</v>
      </c>
      <c r="E150" s="2">
        <v>60</v>
      </c>
      <c r="F150">
        <v>7</v>
      </c>
      <c r="G150" s="2">
        <v>420</v>
      </c>
      <c r="H150" t="s">
        <v>20</v>
      </c>
      <c r="I150" t="s">
        <v>13</v>
      </c>
      <c r="J150" t="s">
        <v>24</v>
      </c>
    </row>
    <row r="151" spans="1:10" x14ac:dyDescent="0.35">
      <c r="A151">
        <v>150</v>
      </c>
      <c r="B151" s="1">
        <v>44956</v>
      </c>
      <c r="C151" t="s">
        <v>28</v>
      </c>
      <c r="D151" t="s">
        <v>19</v>
      </c>
      <c r="E151" s="2">
        <v>40</v>
      </c>
      <c r="F151">
        <v>14</v>
      </c>
      <c r="G151" s="2">
        <v>560</v>
      </c>
      <c r="H151" t="s">
        <v>16</v>
      </c>
      <c r="I151" t="s">
        <v>13</v>
      </c>
      <c r="J151" t="s">
        <v>17</v>
      </c>
    </row>
    <row r="152" spans="1:10" x14ac:dyDescent="0.35">
      <c r="A152">
        <v>151</v>
      </c>
      <c r="B152" s="1">
        <v>44752</v>
      </c>
      <c r="C152" t="s">
        <v>25</v>
      </c>
      <c r="D152" t="s">
        <v>11</v>
      </c>
      <c r="E152" s="2">
        <v>50</v>
      </c>
      <c r="F152">
        <v>13</v>
      </c>
      <c r="G152" s="2">
        <v>650</v>
      </c>
      <c r="H152" t="s">
        <v>20</v>
      </c>
      <c r="I152" t="s">
        <v>23</v>
      </c>
      <c r="J152" t="s">
        <v>24</v>
      </c>
    </row>
    <row r="153" spans="1:10" x14ac:dyDescent="0.35">
      <c r="A153">
        <v>152</v>
      </c>
      <c r="B153" s="1">
        <v>44858</v>
      </c>
      <c r="C153" t="s">
        <v>28</v>
      </c>
      <c r="D153" t="s">
        <v>19</v>
      </c>
      <c r="E153" s="2">
        <v>40</v>
      </c>
      <c r="F153">
        <v>9</v>
      </c>
      <c r="G153" s="2">
        <v>360</v>
      </c>
      <c r="H153" t="s">
        <v>20</v>
      </c>
      <c r="I153" t="s">
        <v>13</v>
      </c>
      <c r="J153" t="s">
        <v>17</v>
      </c>
    </row>
    <row r="154" spans="1:10" x14ac:dyDescent="0.35">
      <c r="A154">
        <v>153</v>
      </c>
      <c r="B154" s="1">
        <v>44763</v>
      </c>
      <c r="C154" t="s">
        <v>22</v>
      </c>
      <c r="D154" t="s">
        <v>11</v>
      </c>
      <c r="E154" s="2">
        <v>20</v>
      </c>
      <c r="F154">
        <v>1</v>
      </c>
      <c r="G154" s="2">
        <v>20</v>
      </c>
      <c r="H154" t="s">
        <v>16</v>
      </c>
      <c r="I154" t="s">
        <v>23</v>
      </c>
      <c r="J154" t="s">
        <v>21</v>
      </c>
    </row>
    <row r="155" spans="1:10" x14ac:dyDescent="0.35">
      <c r="A155">
        <v>154</v>
      </c>
      <c r="B155" s="1">
        <v>44908</v>
      </c>
      <c r="C155" t="s">
        <v>15</v>
      </c>
      <c r="D155" t="s">
        <v>11</v>
      </c>
      <c r="E155" s="2">
        <v>20</v>
      </c>
      <c r="F155">
        <v>3</v>
      </c>
      <c r="G155" s="2">
        <v>60</v>
      </c>
      <c r="H155" t="s">
        <v>16</v>
      </c>
      <c r="I155" t="s">
        <v>13</v>
      </c>
      <c r="J155" t="s">
        <v>14</v>
      </c>
    </row>
    <row r="156" spans="1:10" x14ac:dyDescent="0.35">
      <c r="A156">
        <v>155</v>
      </c>
      <c r="B156" s="1">
        <v>44964</v>
      </c>
      <c r="C156" t="s">
        <v>18</v>
      </c>
      <c r="D156" t="s">
        <v>19</v>
      </c>
      <c r="E156" s="2">
        <v>25</v>
      </c>
      <c r="F156">
        <v>10</v>
      </c>
      <c r="G156" s="2">
        <v>250</v>
      </c>
      <c r="H156" t="s">
        <v>16</v>
      </c>
      <c r="I156" t="s">
        <v>23</v>
      </c>
      <c r="J156" t="s">
        <v>21</v>
      </c>
    </row>
    <row r="157" spans="1:10" x14ac:dyDescent="0.35">
      <c r="A157">
        <v>156</v>
      </c>
      <c r="B157" s="1">
        <v>45010</v>
      </c>
      <c r="C157" t="s">
        <v>22</v>
      </c>
      <c r="D157" t="s">
        <v>11</v>
      </c>
      <c r="E157" s="2">
        <v>20</v>
      </c>
      <c r="F157">
        <v>14</v>
      </c>
      <c r="G157" s="2">
        <v>280</v>
      </c>
      <c r="H157" t="s">
        <v>16</v>
      </c>
      <c r="I157" t="s">
        <v>13</v>
      </c>
      <c r="J157" t="s">
        <v>27</v>
      </c>
    </row>
    <row r="158" spans="1:10" x14ac:dyDescent="0.35">
      <c r="A158">
        <v>157</v>
      </c>
      <c r="B158" s="1">
        <v>44981</v>
      </c>
      <c r="C158" t="s">
        <v>25</v>
      </c>
      <c r="D158" t="s">
        <v>11</v>
      </c>
      <c r="E158" s="2">
        <v>50</v>
      </c>
      <c r="F158">
        <v>7</v>
      </c>
      <c r="G158" s="2">
        <v>350</v>
      </c>
      <c r="H158" t="s">
        <v>20</v>
      </c>
      <c r="I158" t="s">
        <v>23</v>
      </c>
      <c r="J158" t="s">
        <v>27</v>
      </c>
    </row>
    <row r="159" spans="1:10" x14ac:dyDescent="0.35">
      <c r="A159">
        <v>158</v>
      </c>
      <c r="B159" s="1">
        <v>44697</v>
      </c>
      <c r="C159" t="s">
        <v>10</v>
      </c>
      <c r="D159" t="s">
        <v>11</v>
      </c>
      <c r="E159" s="2">
        <v>20</v>
      </c>
      <c r="F159">
        <v>2</v>
      </c>
      <c r="G159" s="2">
        <v>40</v>
      </c>
      <c r="H159" t="s">
        <v>12</v>
      </c>
      <c r="I159" t="s">
        <v>13</v>
      </c>
      <c r="J159" t="s">
        <v>27</v>
      </c>
    </row>
    <row r="160" spans="1:10" x14ac:dyDescent="0.35">
      <c r="A160">
        <v>159</v>
      </c>
      <c r="B160" s="1">
        <v>44837</v>
      </c>
      <c r="C160" t="s">
        <v>18</v>
      </c>
      <c r="D160" t="s">
        <v>19</v>
      </c>
      <c r="E160" s="2">
        <v>25</v>
      </c>
      <c r="F160">
        <v>1</v>
      </c>
      <c r="G160" s="2">
        <v>25</v>
      </c>
      <c r="H160" t="s">
        <v>20</v>
      </c>
      <c r="I160" t="s">
        <v>23</v>
      </c>
      <c r="J160" t="s">
        <v>17</v>
      </c>
    </row>
    <row r="161" spans="1:10" x14ac:dyDescent="0.35">
      <c r="A161">
        <v>160</v>
      </c>
      <c r="B161" s="1">
        <v>44765</v>
      </c>
      <c r="C161" t="s">
        <v>15</v>
      </c>
      <c r="D161" t="s">
        <v>11</v>
      </c>
      <c r="E161" s="2">
        <v>20</v>
      </c>
      <c r="F161">
        <v>10</v>
      </c>
      <c r="G161" s="2">
        <v>200</v>
      </c>
      <c r="H161" t="s">
        <v>20</v>
      </c>
      <c r="I161" t="s">
        <v>13</v>
      </c>
      <c r="J161" t="s">
        <v>14</v>
      </c>
    </row>
    <row r="162" spans="1:10" x14ac:dyDescent="0.35">
      <c r="A162">
        <v>161</v>
      </c>
      <c r="B162" s="1">
        <v>44945</v>
      </c>
      <c r="C162" t="s">
        <v>18</v>
      </c>
      <c r="D162" t="s">
        <v>19</v>
      </c>
      <c r="E162" s="2">
        <v>25</v>
      </c>
      <c r="F162">
        <v>12</v>
      </c>
      <c r="G162" s="2">
        <v>300</v>
      </c>
      <c r="H162" t="s">
        <v>16</v>
      </c>
      <c r="I162" t="s">
        <v>13</v>
      </c>
      <c r="J162" t="s">
        <v>21</v>
      </c>
    </row>
    <row r="163" spans="1:10" x14ac:dyDescent="0.35">
      <c r="A163">
        <v>162</v>
      </c>
      <c r="B163" s="1">
        <v>44688</v>
      </c>
      <c r="C163" t="s">
        <v>10</v>
      </c>
      <c r="D163" t="s">
        <v>11</v>
      </c>
      <c r="E163" s="2">
        <v>20</v>
      </c>
      <c r="F163">
        <v>11</v>
      </c>
      <c r="G163" s="2">
        <v>220</v>
      </c>
      <c r="H163" t="s">
        <v>16</v>
      </c>
      <c r="I163" t="s">
        <v>13</v>
      </c>
      <c r="J163" t="s">
        <v>27</v>
      </c>
    </row>
    <row r="164" spans="1:10" x14ac:dyDescent="0.35">
      <c r="A164">
        <v>163</v>
      </c>
      <c r="B164" s="1">
        <v>44932</v>
      </c>
      <c r="C164" t="s">
        <v>25</v>
      </c>
      <c r="D164" t="s">
        <v>11</v>
      </c>
      <c r="E164" s="2">
        <v>50</v>
      </c>
      <c r="F164">
        <v>6</v>
      </c>
      <c r="G164" s="2">
        <v>300</v>
      </c>
      <c r="H164" t="s">
        <v>20</v>
      </c>
      <c r="I164" t="s">
        <v>23</v>
      </c>
      <c r="J164" t="s">
        <v>27</v>
      </c>
    </row>
    <row r="165" spans="1:10" x14ac:dyDescent="0.35">
      <c r="A165">
        <v>164</v>
      </c>
      <c r="B165" s="1">
        <v>44783</v>
      </c>
      <c r="C165" t="s">
        <v>18</v>
      </c>
      <c r="D165" t="s">
        <v>19</v>
      </c>
      <c r="E165" s="2">
        <v>25</v>
      </c>
      <c r="F165">
        <v>7</v>
      </c>
      <c r="G165" s="2">
        <v>175</v>
      </c>
      <c r="H165" t="s">
        <v>20</v>
      </c>
      <c r="I165" t="s">
        <v>13</v>
      </c>
      <c r="J165" t="s">
        <v>17</v>
      </c>
    </row>
    <row r="166" spans="1:10" x14ac:dyDescent="0.35">
      <c r="A166">
        <v>165</v>
      </c>
      <c r="B166" s="1">
        <v>44931</v>
      </c>
      <c r="C166" t="s">
        <v>26</v>
      </c>
      <c r="D166" t="s">
        <v>11</v>
      </c>
      <c r="E166" s="2">
        <v>60</v>
      </c>
      <c r="F166">
        <v>11</v>
      </c>
      <c r="G166" s="2">
        <v>660</v>
      </c>
      <c r="H166" t="s">
        <v>16</v>
      </c>
      <c r="I166" t="s">
        <v>13</v>
      </c>
      <c r="J166" t="s">
        <v>27</v>
      </c>
    </row>
    <row r="167" spans="1:10" x14ac:dyDescent="0.35">
      <c r="A167">
        <v>166</v>
      </c>
      <c r="B167" s="1">
        <v>44713</v>
      </c>
      <c r="C167" t="s">
        <v>22</v>
      </c>
      <c r="D167" t="s">
        <v>11</v>
      </c>
      <c r="E167" s="2">
        <v>20</v>
      </c>
      <c r="F167">
        <v>6</v>
      </c>
      <c r="G167" s="2">
        <v>120</v>
      </c>
      <c r="H167" t="s">
        <v>16</v>
      </c>
      <c r="I167" t="s">
        <v>23</v>
      </c>
      <c r="J167" t="s">
        <v>21</v>
      </c>
    </row>
    <row r="168" spans="1:10" x14ac:dyDescent="0.35">
      <c r="A168">
        <v>167</v>
      </c>
      <c r="B168" s="1">
        <v>44980</v>
      </c>
      <c r="C168" t="s">
        <v>28</v>
      </c>
      <c r="D168" t="s">
        <v>19</v>
      </c>
      <c r="E168" s="2">
        <v>40</v>
      </c>
      <c r="F168">
        <v>6</v>
      </c>
      <c r="G168" s="2">
        <v>240</v>
      </c>
      <c r="H168" t="s">
        <v>16</v>
      </c>
      <c r="I168" t="s">
        <v>23</v>
      </c>
      <c r="J168" t="s">
        <v>24</v>
      </c>
    </row>
    <row r="169" spans="1:10" x14ac:dyDescent="0.35">
      <c r="A169">
        <v>168</v>
      </c>
      <c r="B169" s="1">
        <v>44670</v>
      </c>
      <c r="C169" t="s">
        <v>26</v>
      </c>
      <c r="D169" t="s">
        <v>11</v>
      </c>
      <c r="E169" s="2">
        <v>60</v>
      </c>
      <c r="F169">
        <v>4</v>
      </c>
      <c r="G169" s="2">
        <v>240</v>
      </c>
      <c r="H169" t="s">
        <v>16</v>
      </c>
      <c r="I169" t="s">
        <v>23</v>
      </c>
      <c r="J169" t="s">
        <v>27</v>
      </c>
    </row>
    <row r="170" spans="1:10" x14ac:dyDescent="0.35">
      <c r="A170">
        <v>169</v>
      </c>
      <c r="B170" s="1">
        <v>44732</v>
      </c>
      <c r="C170" t="s">
        <v>15</v>
      </c>
      <c r="D170" t="s">
        <v>11</v>
      </c>
      <c r="E170" s="2">
        <v>20</v>
      </c>
      <c r="F170">
        <v>6</v>
      </c>
      <c r="G170" s="2">
        <v>120</v>
      </c>
      <c r="H170" t="s">
        <v>16</v>
      </c>
      <c r="I170" t="s">
        <v>13</v>
      </c>
      <c r="J170" t="s">
        <v>24</v>
      </c>
    </row>
    <row r="171" spans="1:10" x14ac:dyDescent="0.35">
      <c r="A171">
        <v>170</v>
      </c>
      <c r="B171" s="1">
        <v>44970</v>
      </c>
      <c r="C171" t="s">
        <v>10</v>
      </c>
      <c r="D171" t="s">
        <v>11</v>
      </c>
      <c r="E171" s="2">
        <v>20</v>
      </c>
      <c r="F171">
        <v>6</v>
      </c>
      <c r="G171" s="2">
        <v>120</v>
      </c>
      <c r="H171" t="s">
        <v>12</v>
      </c>
      <c r="I171" t="s">
        <v>23</v>
      </c>
      <c r="J171" t="s">
        <v>17</v>
      </c>
    </row>
    <row r="172" spans="1:10" x14ac:dyDescent="0.35">
      <c r="A172">
        <v>171</v>
      </c>
      <c r="B172" s="1">
        <v>44987</v>
      </c>
      <c r="C172" t="s">
        <v>15</v>
      </c>
      <c r="D172" t="s">
        <v>11</v>
      </c>
      <c r="E172" s="2">
        <v>20</v>
      </c>
      <c r="F172">
        <v>11</v>
      </c>
      <c r="G172" s="2">
        <v>220</v>
      </c>
      <c r="H172" t="s">
        <v>16</v>
      </c>
      <c r="I172" t="s">
        <v>23</v>
      </c>
      <c r="J172" t="s">
        <v>27</v>
      </c>
    </row>
    <row r="173" spans="1:10" x14ac:dyDescent="0.35">
      <c r="A173">
        <v>172</v>
      </c>
      <c r="B173" s="1">
        <v>44800</v>
      </c>
      <c r="C173" t="s">
        <v>18</v>
      </c>
      <c r="D173" t="s">
        <v>19</v>
      </c>
      <c r="E173" s="2">
        <v>25</v>
      </c>
      <c r="F173">
        <v>6</v>
      </c>
      <c r="G173" s="2">
        <v>150</v>
      </c>
      <c r="H173" t="s">
        <v>20</v>
      </c>
      <c r="I173" t="s">
        <v>23</v>
      </c>
      <c r="J173" t="s">
        <v>14</v>
      </c>
    </row>
    <row r="174" spans="1:10" x14ac:dyDescent="0.35">
      <c r="A174">
        <v>173</v>
      </c>
      <c r="B174" s="1">
        <v>44946</v>
      </c>
      <c r="C174" t="s">
        <v>28</v>
      </c>
      <c r="D174" t="s">
        <v>19</v>
      </c>
      <c r="E174" s="2">
        <v>40</v>
      </c>
      <c r="F174">
        <v>2</v>
      </c>
      <c r="G174" s="2">
        <v>80</v>
      </c>
      <c r="H174" t="s">
        <v>20</v>
      </c>
      <c r="I174" t="s">
        <v>13</v>
      </c>
      <c r="J174" t="s">
        <v>14</v>
      </c>
    </row>
    <row r="175" spans="1:10" x14ac:dyDescent="0.35">
      <c r="A175">
        <v>174</v>
      </c>
      <c r="B175" s="1">
        <v>44807</v>
      </c>
      <c r="C175" t="s">
        <v>10</v>
      </c>
      <c r="D175" t="s">
        <v>11</v>
      </c>
      <c r="E175" s="2">
        <v>20</v>
      </c>
      <c r="F175">
        <v>2</v>
      </c>
      <c r="G175" s="2">
        <v>40</v>
      </c>
      <c r="H175" t="s">
        <v>20</v>
      </c>
      <c r="I175" t="s">
        <v>13</v>
      </c>
      <c r="J175" t="s">
        <v>21</v>
      </c>
    </row>
    <row r="176" spans="1:10" x14ac:dyDescent="0.35">
      <c r="A176">
        <v>175</v>
      </c>
      <c r="B176" s="1">
        <v>44851</v>
      </c>
      <c r="C176" t="s">
        <v>25</v>
      </c>
      <c r="D176" t="s">
        <v>11</v>
      </c>
      <c r="E176" s="2">
        <v>50</v>
      </c>
      <c r="F176">
        <v>12</v>
      </c>
      <c r="G176" s="2">
        <v>600</v>
      </c>
      <c r="H176" t="s">
        <v>16</v>
      </c>
      <c r="I176" t="s">
        <v>23</v>
      </c>
      <c r="J176" t="s">
        <v>17</v>
      </c>
    </row>
    <row r="177" spans="1:10" x14ac:dyDescent="0.35">
      <c r="A177">
        <v>176</v>
      </c>
      <c r="B177" s="1">
        <v>44777</v>
      </c>
      <c r="C177" t="s">
        <v>22</v>
      </c>
      <c r="D177" t="s">
        <v>11</v>
      </c>
      <c r="E177" s="2">
        <v>20</v>
      </c>
      <c r="F177">
        <v>1</v>
      </c>
      <c r="G177" s="2">
        <v>20</v>
      </c>
      <c r="H177" t="s">
        <v>16</v>
      </c>
      <c r="I177" t="s">
        <v>23</v>
      </c>
      <c r="J177" t="s">
        <v>27</v>
      </c>
    </row>
    <row r="178" spans="1:10" x14ac:dyDescent="0.35">
      <c r="A178">
        <v>177</v>
      </c>
      <c r="B178" s="1">
        <v>44763</v>
      </c>
      <c r="C178" t="s">
        <v>22</v>
      </c>
      <c r="D178" t="s">
        <v>11</v>
      </c>
      <c r="E178" s="2">
        <v>20</v>
      </c>
      <c r="F178">
        <v>11</v>
      </c>
      <c r="G178" s="2">
        <v>220</v>
      </c>
      <c r="H178" t="s">
        <v>20</v>
      </c>
      <c r="I178" t="s">
        <v>23</v>
      </c>
      <c r="J178" t="s">
        <v>24</v>
      </c>
    </row>
    <row r="179" spans="1:10" x14ac:dyDescent="0.35">
      <c r="A179">
        <v>178</v>
      </c>
      <c r="B179" s="1">
        <v>44904</v>
      </c>
      <c r="C179" t="s">
        <v>10</v>
      </c>
      <c r="D179" t="s">
        <v>11</v>
      </c>
      <c r="E179" s="2">
        <v>20</v>
      </c>
      <c r="F179">
        <v>2</v>
      </c>
      <c r="G179" s="2">
        <v>40</v>
      </c>
      <c r="H179" t="s">
        <v>16</v>
      </c>
      <c r="I179" t="s">
        <v>23</v>
      </c>
      <c r="J179" t="s">
        <v>24</v>
      </c>
    </row>
    <row r="180" spans="1:10" x14ac:dyDescent="0.35">
      <c r="A180">
        <v>179</v>
      </c>
      <c r="B180" s="1">
        <v>44988</v>
      </c>
      <c r="C180" t="s">
        <v>18</v>
      </c>
      <c r="D180" t="s">
        <v>19</v>
      </c>
      <c r="E180" s="2">
        <v>25</v>
      </c>
      <c r="F180">
        <v>5</v>
      </c>
      <c r="G180" s="2">
        <v>125</v>
      </c>
      <c r="H180" t="s">
        <v>12</v>
      </c>
      <c r="I180" t="s">
        <v>23</v>
      </c>
      <c r="J180" t="s">
        <v>27</v>
      </c>
    </row>
    <row r="181" spans="1:10" x14ac:dyDescent="0.35">
      <c r="A181">
        <v>180</v>
      </c>
      <c r="B181" s="1">
        <v>44896</v>
      </c>
      <c r="C181" t="s">
        <v>15</v>
      </c>
      <c r="D181" t="s">
        <v>11</v>
      </c>
      <c r="E181" s="2">
        <v>20</v>
      </c>
      <c r="F181">
        <v>6</v>
      </c>
      <c r="G181" s="2">
        <v>120</v>
      </c>
      <c r="H181" t="s">
        <v>20</v>
      </c>
      <c r="I181" t="s">
        <v>23</v>
      </c>
      <c r="J181" t="s">
        <v>17</v>
      </c>
    </row>
    <row r="182" spans="1:10" x14ac:dyDescent="0.35">
      <c r="A182">
        <v>181</v>
      </c>
      <c r="B182" s="1">
        <v>44721</v>
      </c>
      <c r="C182" t="s">
        <v>28</v>
      </c>
      <c r="D182" t="s">
        <v>19</v>
      </c>
      <c r="E182" s="2">
        <v>40</v>
      </c>
      <c r="F182">
        <v>7</v>
      </c>
      <c r="G182" s="2">
        <v>280</v>
      </c>
      <c r="H182" t="s">
        <v>16</v>
      </c>
      <c r="I182" t="s">
        <v>23</v>
      </c>
      <c r="J182" t="s">
        <v>14</v>
      </c>
    </row>
    <row r="183" spans="1:10" x14ac:dyDescent="0.35">
      <c r="A183">
        <v>182</v>
      </c>
      <c r="B183" s="1">
        <v>44744</v>
      </c>
      <c r="C183" t="s">
        <v>28</v>
      </c>
      <c r="D183" t="s">
        <v>19</v>
      </c>
      <c r="E183" s="2">
        <v>40</v>
      </c>
      <c r="F183">
        <v>1</v>
      </c>
      <c r="G183" s="2">
        <v>40</v>
      </c>
      <c r="H183" t="s">
        <v>16</v>
      </c>
      <c r="I183" t="s">
        <v>13</v>
      </c>
      <c r="J183" t="s">
        <v>27</v>
      </c>
    </row>
    <row r="184" spans="1:10" x14ac:dyDescent="0.35">
      <c r="A184">
        <v>183</v>
      </c>
      <c r="B184" s="1">
        <v>44752</v>
      </c>
      <c r="C184" t="s">
        <v>18</v>
      </c>
      <c r="D184" t="s">
        <v>19</v>
      </c>
      <c r="E184" s="2">
        <v>25</v>
      </c>
      <c r="F184">
        <v>5</v>
      </c>
      <c r="G184" s="2">
        <v>125</v>
      </c>
      <c r="H184" t="s">
        <v>16</v>
      </c>
      <c r="I184" t="s">
        <v>23</v>
      </c>
      <c r="J184" t="s">
        <v>27</v>
      </c>
    </row>
    <row r="185" spans="1:10" x14ac:dyDescent="0.35">
      <c r="A185">
        <v>184</v>
      </c>
      <c r="B185" s="1">
        <v>44929</v>
      </c>
      <c r="C185" t="s">
        <v>28</v>
      </c>
      <c r="D185" t="s">
        <v>19</v>
      </c>
      <c r="E185" s="2">
        <v>40</v>
      </c>
      <c r="F185">
        <v>8</v>
      </c>
      <c r="G185" s="2">
        <v>320</v>
      </c>
      <c r="H185" t="s">
        <v>16</v>
      </c>
      <c r="I185" t="s">
        <v>13</v>
      </c>
      <c r="J185" t="s">
        <v>14</v>
      </c>
    </row>
    <row r="186" spans="1:10" x14ac:dyDescent="0.35">
      <c r="A186">
        <v>185</v>
      </c>
      <c r="B186" s="1">
        <v>44939</v>
      </c>
      <c r="C186" t="s">
        <v>18</v>
      </c>
      <c r="D186" t="s">
        <v>19</v>
      </c>
      <c r="E186" s="2">
        <v>25</v>
      </c>
      <c r="F186">
        <v>15</v>
      </c>
      <c r="G186" s="2">
        <v>375</v>
      </c>
      <c r="H186" t="s">
        <v>12</v>
      </c>
      <c r="I186" t="s">
        <v>13</v>
      </c>
      <c r="J186" t="s">
        <v>14</v>
      </c>
    </row>
    <row r="187" spans="1:10" x14ac:dyDescent="0.35">
      <c r="A187">
        <v>186</v>
      </c>
      <c r="B187" s="1">
        <v>45000</v>
      </c>
      <c r="C187" t="s">
        <v>25</v>
      </c>
      <c r="D187" t="s">
        <v>11</v>
      </c>
      <c r="E187" s="2">
        <v>50</v>
      </c>
      <c r="F187">
        <v>2</v>
      </c>
      <c r="G187" s="2">
        <v>100</v>
      </c>
      <c r="H187" t="s">
        <v>20</v>
      </c>
      <c r="I187" t="s">
        <v>13</v>
      </c>
      <c r="J187" t="s">
        <v>17</v>
      </c>
    </row>
    <row r="188" spans="1:10" x14ac:dyDescent="0.35">
      <c r="A188">
        <v>187</v>
      </c>
      <c r="B188" s="1">
        <v>44845</v>
      </c>
      <c r="C188" t="s">
        <v>10</v>
      </c>
      <c r="D188" t="s">
        <v>11</v>
      </c>
      <c r="E188" s="2">
        <v>20</v>
      </c>
      <c r="F188">
        <v>15</v>
      </c>
      <c r="G188" s="2">
        <v>300</v>
      </c>
      <c r="H188" t="s">
        <v>16</v>
      </c>
      <c r="I188" t="s">
        <v>23</v>
      </c>
      <c r="J188" t="s">
        <v>24</v>
      </c>
    </row>
    <row r="189" spans="1:10" x14ac:dyDescent="0.35">
      <c r="A189">
        <v>188</v>
      </c>
      <c r="B189" s="1">
        <v>44923</v>
      </c>
      <c r="C189" t="s">
        <v>22</v>
      </c>
      <c r="D189" t="s">
        <v>11</v>
      </c>
      <c r="E189" s="2">
        <v>20</v>
      </c>
      <c r="F189">
        <v>14</v>
      </c>
      <c r="G189" s="2">
        <v>280</v>
      </c>
      <c r="H189" t="s">
        <v>16</v>
      </c>
      <c r="I189" t="s">
        <v>23</v>
      </c>
      <c r="J189" t="s">
        <v>14</v>
      </c>
    </row>
    <row r="190" spans="1:10" x14ac:dyDescent="0.35">
      <c r="A190">
        <v>189</v>
      </c>
      <c r="B190" s="1">
        <v>44965</v>
      </c>
      <c r="C190" t="s">
        <v>15</v>
      </c>
      <c r="D190" t="s">
        <v>11</v>
      </c>
      <c r="E190" s="2">
        <v>20</v>
      </c>
      <c r="F190">
        <v>12</v>
      </c>
      <c r="G190" s="2">
        <v>240</v>
      </c>
      <c r="H190" t="s">
        <v>20</v>
      </c>
      <c r="I190" t="s">
        <v>13</v>
      </c>
      <c r="J190" t="s">
        <v>17</v>
      </c>
    </row>
    <row r="191" spans="1:10" x14ac:dyDescent="0.35">
      <c r="A191">
        <v>190</v>
      </c>
      <c r="B191" s="1">
        <v>44677</v>
      </c>
      <c r="C191" t="s">
        <v>28</v>
      </c>
      <c r="D191" t="s">
        <v>19</v>
      </c>
      <c r="E191" s="2">
        <v>40</v>
      </c>
      <c r="F191">
        <v>1</v>
      </c>
      <c r="G191" s="2">
        <v>40</v>
      </c>
      <c r="H191" t="s">
        <v>20</v>
      </c>
      <c r="I191" t="s">
        <v>13</v>
      </c>
      <c r="J191" t="s">
        <v>21</v>
      </c>
    </row>
    <row r="192" spans="1:10" x14ac:dyDescent="0.35">
      <c r="A192">
        <v>191</v>
      </c>
      <c r="B192" s="1">
        <v>44701</v>
      </c>
      <c r="C192" t="s">
        <v>18</v>
      </c>
      <c r="D192" t="s">
        <v>19</v>
      </c>
      <c r="E192" s="2">
        <v>25</v>
      </c>
      <c r="F192">
        <v>14</v>
      </c>
      <c r="G192" s="2">
        <v>350</v>
      </c>
      <c r="H192" t="s">
        <v>16</v>
      </c>
      <c r="I192" t="s">
        <v>23</v>
      </c>
      <c r="J192" t="s">
        <v>24</v>
      </c>
    </row>
    <row r="193" spans="1:10" x14ac:dyDescent="0.35">
      <c r="A193">
        <v>192</v>
      </c>
      <c r="B193" s="1">
        <v>44860</v>
      </c>
      <c r="C193" t="s">
        <v>15</v>
      </c>
      <c r="D193" t="s">
        <v>11</v>
      </c>
      <c r="E193" s="2">
        <v>20</v>
      </c>
      <c r="F193">
        <v>2</v>
      </c>
      <c r="G193" s="2">
        <v>40</v>
      </c>
      <c r="H193" t="s">
        <v>20</v>
      </c>
      <c r="I193" t="s">
        <v>13</v>
      </c>
      <c r="J193" t="s">
        <v>14</v>
      </c>
    </row>
    <row r="194" spans="1:10" x14ac:dyDescent="0.35">
      <c r="A194">
        <v>193</v>
      </c>
      <c r="B194" s="1">
        <v>44962</v>
      </c>
      <c r="C194" t="s">
        <v>28</v>
      </c>
      <c r="D194" t="s">
        <v>19</v>
      </c>
      <c r="E194" s="2">
        <v>40</v>
      </c>
      <c r="F194">
        <v>15</v>
      </c>
      <c r="G194" s="2">
        <v>600</v>
      </c>
      <c r="H194" t="s">
        <v>20</v>
      </c>
      <c r="I194" t="s">
        <v>23</v>
      </c>
      <c r="J194" t="s">
        <v>27</v>
      </c>
    </row>
    <row r="195" spans="1:10" x14ac:dyDescent="0.35">
      <c r="A195">
        <v>194</v>
      </c>
      <c r="B195" s="1">
        <v>44910</v>
      </c>
      <c r="C195" t="s">
        <v>15</v>
      </c>
      <c r="D195" t="s">
        <v>11</v>
      </c>
      <c r="E195" s="2">
        <v>20</v>
      </c>
      <c r="F195">
        <v>4</v>
      </c>
      <c r="G195" s="2">
        <v>80</v>
      </c>
      <c r="H195" t="s">
        <v>16</v>
      </c>
      <c r="I195" t="s">
        <v>23</v>
      </c>
      <c r="J195" t="s">
        <v>24</v>
      </c>
    </row>
    <row r="196" spans="1:10" x14ac:dyDescent="0.35">
      <c r="A196">
        <v>195</v>
      </c>
      <c r="B196" s="1">
        <v>44674</v>
      </c>
      <c r="C196" t="s">
        <v>26</v>
      </c>
      <c r="D196" t="s">
        <v>11</v>
      </c>
      <c r="E196" s="2">
        <v>60</v>
      </c>
      <c r="F196">
        <v>4</v>
      </c>
      <c r="G196" s="2">
        <v>240</v>
      </c>
      <c r="H196" t="s">
        <v>16</v>
      </c>
      <c r="I196" t="s">
        <v>23</v>
      </c>
      <c r="J196" t="s">
        <v>14</v>
      </c>
    </row>
    <row r="197" spans="1:10" x14ac:dyDescent="0.35">
      <c r="A197">
        <v>196</v>
      </c>
      <c r="B197" s="1">
        <v>44737</v>
      </c>
      <c r="C197" t="s">
        <v>26</v>
      </c>
      <c r="D197" t="s">
        <v>11</v>
      </c>
      <c r="E197" s="2">
        <v>60</v>
      </c>
      <c r="F197">
        <v>3</v>
      </c>
      <c r="G197" s="2">
        <v>180</v>
      </c>
      <c r="H197" t="s">
        <v>16</v>
      </c>
      <c r="I197" t="s">
        <v>13</v>
      </c>
      <c r="J197" t="s">
        <v>21</v>
      </c>
    </row>
    <row r="198" spans="1:10" x14ac:dyDescent="0.35">
      <c r="A198">
        <v>197</v>
      </c>
      <c r="B198" s="1">
        <v>44873</v>
      </c>
      <c r="C198" t="s">
        <v>22</v>
      </c>
      <c r="D198" t="s">
        <v>11</v>
      </c>
      <c r="E198" s="2">
        <v>20</v>
      </c>
      <c r="F198">
        <v>10</v>
      </c>
      <c r="G198" s="2">
        <v>200</v>
      </c>
      <c r="H198" t="s">
        <v>16</v>
      </c>
      <c r="I198" t="s">
        <v>23</v>
      </c>
      <c r="J198" t="s">
        <v>27</v>
      </c>
    </row>
    <row r="199" spans="1:10" x14ac:dyDescent="0.35">
      <c r="A199">
        <v>198</v>
      </c>
      <c r="B199" s="1">
        <v>44931</v>
      </c>
      <c r="C199" t="s">
        <v>25</v>
      </c>
      <c r="D199" t="s">
        <v>11</v>
      </c>
      <c r="E199" s="2">
        <v>50</v>
      </c>
      <c r="F199">
        <v>15</v>
      </c>
      <c r="G199" s="2">
        <v>750</v>
      </c>
      <c r="H199" t="s">
        <v>16</v>
      </c>
      <c r="I199" t="s">
        <v>13</v>
      </c>
      <c r="J199" t="s">
        <v>24</v>
      </c>
    </row>
    <row r="200" spans="1:10" x14ac:dyDescent="0.35">
      <c r="A200">
        <v>199</v>
      </c>
      <c r="B200" s="1">
        <v>44958</v>
      </c>
      <c r="C200" t="s">
        <v>25</v>
      </c>
      <c r="D200" t="s">
        <v>11</v>
      </c>
      <c r="E200" s="2">
        <v>50</v>
      </c>
      <c r="F200">
        <v>6</v>
      </c>
      <c r="G200" s="2">
        <v>300</v>
      </c>
      <c r="H200" t="s">
        <v>20</v>
      </c>
      <c r="I200" t="s">
        <v>23</v>
      </c>
      <c r="J200" t="s">
        <v>24</v>
      </c>
    </row>
    <row r="201" spans="1:10" x14ac:dyDescent="0.35">
      <c r="A201">
        <v>200</v>
      </c>
      <c r="B201" s="1">
        <v>44920</v>
      </c>
      <c r="C201" t="s">
        <v>28</v>
      </c>
      <c r="D201" t="s">
        <v>19</v>
      </c>
      <c r="E201" s="2">
        <v>40</v>
      </c>
      <c r="F201">
        <v>10</v>
      </c>
      <c r="G201" s="2">
        <v>400</v>
      </c>
      <c r="H201" t="s">
        <v>16</v>
      </c>
      <c r="I201" t="s">
        <v>23</v>
      </c>
      <c r="J201" t="s">
        <v>24</v>
      </c>
    </row>
    <row r="202" spans="1:10" x14ac:dyDescent="0.35">
      <c r="A202">
        <v>201</v>
      </c>
      <c r="B202" s="1">
        <v>44742</v>
      </c>
      <c r="C202" t="s">
        <v>22</v>
      </c>
      <c r="D202" t="s">
        <v>11</v>
      </c>
      <c r="E202" s="2">
        <v>20</v>
      </c>
      <c r="F202">
        <v>8</v>
      </c>
      <c r="G202" s="2">
        <v>160</v>
      </c>
      <c r="H202" t="s">
        <v>16</v>
      </c>
      <c r="I202" t="s">
        <v>13</v>
      </c>
      <c r="J202" t="s">
        <v>24</v>
      </c>
    </row>
    <row r="203" spans="1:10" x14ac:dyDescent="0.35">
      <c r="A203">
        <v>202</v>
      </c>
      <c r="B203" s="1">
        <v>44825</v>
      </c>
      <c r="C203" t="s">
        <v>10</v>
      </c>
      <c r="D203" t="s">
        <v>11</v>
      </c>
      <c r="E203" s="2">
        <v>20</v>
      </c>
      <c r="F203">
        <v>9</v>
      </c>
      <c r="G203" s="2">
        <v>180</v>
      </c>
      <c r="H203" t="s">
        <v>16</v>
      </c>
      <c r="I203" t="s">
        <v>13</v>
      </c>
      <c r="J203" t="s">
        <v>17</v>
      </c>
    </row>
    <row r="204" spans="1:10" x14ac:dyDescent="0.35">
      <c r="A204">
        <v>203</v>
      </c>
      <c r="B204" s="1">
        <v>44662</v>
      </c>
      <c r="C204" t="s">
        <v>15</v>
      </c>
      <c r="D204" t="s">
        <v>11</v>
      </c>
      <c r="E204" s="2">
        <v>20</v>
      </c>
      <c r="F204">
        <v>6</v>
      </c>
      <c r="G204" s="2">
        <v>120</v>
      </c>
      <c r="H204" t="s">
        <v>20</v>
      </c>
      <c r="I204" t="s">
        <v>23</v>
      </c>
      <c r="J204" t="s">
        <v>27</v>
      </c>
    </row>
    <row r="205" spans="1:10" x14ac:dyDescent="0.35">
      <c r="A205">
        <v>204</v>
      </c>
      <c r="B205" s="1">
        <v>44858</v>
      </c>
      <c r="C205" t="s">
        <v>28</v>
      </c>
      <c r="D205" t="s">
        <v>19</v>
      </c>
      <c r="E205" s="2">
        <v>40</v>
      </c>
      <c r="F205">
        <v>7</v>
      </c>
      <c r="G205" s="2">
        <v>280</v>
      </c>
      <c r="H205" t="s">
        <v>16</v>
      </c>
      <c r="I205" t="s">
        <v>23</v>
      </c>
      <c r="J205" t="s">
        <v>21</v>
      </c>
    </row>
    <row r="206" spans="1:10" x14ac:dyDescent="0.35">
      <c r="A206">
        <v>205</v>
      </c>
      <c r="B206" s="1">
        <v>44851</v>
      </c>
      <c r="C206" t="s">
        <v>15</v>
      </c>
      <c r="D206" t="s">
        <v>11</v>
      </c>
      <c r="E206" s="2">
        <v>20</v>
      </c>
      <c r="F206">
        <v>4</v>
      </c>
      <c r="G206" s="2">
        <v>80</v>
      </c>
      <c r="H206" t="s">
        <v>12</v>
      </c>
      <c r="I206" t="s">
        <v>13</v>
      </c>
      <c r="J206" t="s">
        <v>17</v>
      </c>
    </row>
    <row r="207" spans="1:10" x14ac:dyDescent="0.35">
      <c r="A207">
        <v>206</v>
      </c>
      <c r="B207" s="1">
        <v>44769</v>
      </c>
      <c r="C207" t="s">
        <v>10</v>
      </c>
      <c r="D207" t="s">
        <v>11</v>
      </c>
      <c r="E207" s="2">
        <v>20</v>
      </c>
      <c r="F207">
        <v>4</v>
      </c>
      <c r="G207" s="2">
        <v>80</v>
      </c>
      <c r="H207" t="s">
        <v>16</v>
      </c>
      <c r="I207" t="s">
        <v>13</v>
      </c>
      <c r="J207" t="s">
        <v>14</v>
      </c>
    </row>
    <row r="208" spans="1:10" x14ac:dyDescent="0.35">
      <c r="A208">
        <v>207</v>
      </c>
      <c r="B208" s="1">
        <v>44977</v>
      </c>
      <c r="C208" t="s">
        <v>28</v>
      </c>
      <c r="D208" t="s">
        <v>19</v>
      </c>
      <c r="E208" s="2">
        <v>40</v>
      </c>
      <c r="F208">
        <v>8</v>
      </c>
      <c r="G208" s="2">
        <v>320</v>
      </c>
      <c r="H208" t="s">
        <v>20</v>
      </c>
      <c r="I208" t="s">
        <v>23</v>
      </c>
      <c r="J208" t="s">
        <v>21</v>
      </c>
    </row>
    <row r="209" spans="1:10" x14ac:dyDescent="0.35">
      <c r="A209">
        <v>208</v>
      </c>
      <c r="B209" s="1">
        <v>44799</v>
      </c>
      <c r="C209" t="s">
        <v>28</v>
      </c>
      <c r="D209" t="s">
        <v>19</v>
      </c>
      <c r="E209" s="2">
        <v>40</v>
      </c>
      <c r="F209">
        <v>13</v>
      </c>
      <c r="G209" s="2">
        <v>520</v>
      </c>
      <c r="H209" t="s">
        <v>16</v>
      </c>
      <c r="I209" t="s">
        <v>23</v>
      </c>
      <c r="J209" t="s">
        <v>27</v>
      </c>
    </row>
    <row r="210" spans="1:10" x14ac:dyDescent="0.35">
      <c r="A210">
        <v>209</v>
      </c>
      <c r="B210" s="1">
        <v>44899</v>
      </c>
      <c r="C210" t="s">
        <v>10</v>
      </c>
      <c r="D210" t="s">
        <v>11</v>
      </c>
      <c r="E210" s="2">
        <v>20</v>
      </c>
      <c r="F210">
        <v>2</v>
      </c>
      <c r="G210" s="2">
        <v>40</v>
      </c>
      <c r="H210" t="s">
        <v>16</v>
      </c>
      <c r="I210" t="s">
        <v>13</v>
      </c>
      <c r="J210" t="s">
        <v>14</v>
      </c>
    </row>
    <row r="211" spans="1:10" x14ac:dyDescent="0.35">
      <c r="A211">
        <v>210</v>
      </c>
      <c r="B211" s="1">
        <v>44928</v>
      </c>
      <c r="C211" t="s">
        <v>18</v>
      </c>
      <c r="D211" t="s">
        <v>19</v>
      </c>
      <c r="E211" s="2">
        <v>25</v>
      </c>
      <c r="F211">
        <v>15</v>
      </c>
      <c r="G211" s="2">
        <v>375</v>
      </c>
      <c r="H211" t="s">
        <v>12</v>
      </c>
      <c r="I211" t="s">
        <v>13</v>
      </c>
      <c r="J211" t="s">
        <v>14</v>
      </c>
    </row>
    <row r="212" spans="1:10" x14ac:dyDescent="0.35">
      <c r="A212">
        <v>211</v>
      </c>
      <c r="B212" s="1">
        <v>44669</v>
      </c>
      <c r="C212" t="s">
        <v>10</v>
      </c>
      <c r="D212" t="s">
        <v>11</v>
      </c>
      <c r="E212" s="2">
        <v>20</v>
      </c>
      <c r="F212">
        <v>12</v>
      </c>
      <c r="G212" s="2">
        <v>240</v>
      </c>
      <c r="H212" t="s">
        <v>16</v>
      </c>
      <c r="I212" t="s">
        <v>13</v>
      </c>
      <c r="J212" t="s">
        <v>24</v>
      </c>
    </row>
    <row r="213" spans="1:10" x14ac:dyDescent="0.35">
      <c r="A213">
        <v>212</v>
      </c>
      <c r="B213" s="1">
        <v>44686</v>
      </c>
      <c r="C213" t="s">
        <v>28</v>
      </c>
      <c r="D213" t="s">
        <v>19</v>
      </c>
      <c r="E213" s="2">
        <v>40</v>
      </c>
      <c r="F213">
        <v>12</v>
      </c>
      <c r="G213" s="2">
        <v>480</v>
      </c>
      <c r="H213" t="s">
        <v>20</v>
      </c>
      <c r="I213" t="s">
        <v>23</v>
      </c>
      <c r="J213" t="s">
        <v>24</v>
      </c>
    </row>
    <row r="214" spans="1:10" x14ac:dyDescent="0.35">
      <c r="A214">
        <v>213</v>
      </c>
      <c r="B214" s="1">
        <v>44833</v>
      </c>
      <c r="C214" t="s">
        <v>15</v>
      </c>
      <c r="D214" t="s">
        <v>11</v>
      </c>
      <c r="E214" s="2">
        <v>20</v>
      </c>
      <c r="F214">
        <v>3</v>
      </c>
      <c r="G214" s="2">
        <v>60</v>
      </c>
      <c r="H214" t="s">
        <v>12</v>
      </c>
      <c r="I214" t="s">
        <v>23</v>
      </c>
      <c r="J214" t="s">
        <v>27</v>
      </c>
    </row>
    <row r="215" spans="1:10" x14ac:dyDescent="0.35">
      <c r="A215">
        <v>214</v>
      </c>
      <c r="B215" s="1">
        <v>44898</v>
      </c>
      <c r="C215" t="s">
        <v>18</v>
      </c>
      <c r="D215" t="s">
        <v>19</v>
      </c>
      <c r="E215" s="2">
        <v>25</v>
      </c>
      <c r="F215">
        <v>14</v>
      </c>
      <c r="G215" s="2">
        <v>350</v>
      </c>
      <c r="H215" t="s">
        <v>20</v>
      </c>
      <c r="I215" t="s">
        <v>13</v>
      </c>
      <c r="J215" t="s">
        <v>21</v>
      </c>
    </row>
    <row r="216" spans="1:10" x14ac:dyDescent="0.35">
      <c r="A216">
        <v>215</v>
      </c>
      <c r="B216" s="1">
        <v>44905</v>
      </c>
      <c r="C216" t="s">
        <v>18</v>
      </c>
      <c r="D216" t="s">
        <v>19</v>
      </c>
      <c r="E216" s="2">
        <v>25</v>
      </c>
      <c r="F216">
        <v>7</v>
      </c>
      <c r="G216" s="2">
        <v>175</v>
      </c>
      <c r="H216" t="s">
        <v>12</v>
      </c>
      <c r="I216" t="s">
        <v>23</v>
      </c>
      <c r="J216" t="s">
        <v>24</v>
      </c>
    </row>
    <row r="217" spans="1:10" x14ac:dyDescent="0.35">
      <c r="A217">
        <v>216</v>
      </c>
      <c r="B217" s="1">
        <v>44992</v>
      </c>
      <c r="C217" t="s">
        <v>22</v>
      </c>
      <c r="D217" t="s">
        <v>11</v>
      </c>
      <c r="E217" s="2">
        <v>20</v>
      </c>
      <c r="F217">
        <v>9</v>
      </c>
      <c r="G217" s="2">
        <v>180</v>
      </c>
      <c r="H217" t="s">
        <v>16</v>
      </c>
      <c r="I217" t="s">
        <v>23</v>
      </c>
      <c r="J217" t="s">
        <v>17</v>
      </c>
    </row>
    <row r="218" spans="1:10" x14ac:dyDescent="0.35">
      <c r="A218">
        <v>217</v>
      </c>
      <c r="B218" s="1">
        <v>45008</v>
      </c>
      <c r="C218" t="s">
        <v>28</v>
      </c>
      <c r="D218" t="s">
        <v>19</v>
      </c>
      <c r="E218" s="2">
        <v>40</v>
      </c>
      <c r="F218">
        <v>10</v>
      </c>
      <c r="G218" s="2">
        <v>400</v>
      </c>
      <c r="H218" t="s">
        <v>16</v>
      </c>
      <c r="I218" t="s">
        <v>13</v>
      </c>
      <c r="J218" t="s">
        <v>24</v>
      </c>
    </row>
    <row r="219" spans="1:10" x14ac:dyDescent="0.35">
      <c r="A219">
        <v>218</v>
      </c>
      <c r="B219" s="1">
        <v>44918</v>
      </c>
      <c r="C219" t="s">
        <v>28</v>
      </c>
      <c r="D219" t="s">
        <v>19</v>
      </c>
      <c r="E219" s="2">
        <v>40</v>
      </c>
      <c r="F219">
        <v>13</v>
      </c>
      <c r="G219" s="2">
        <v>520</v>
      </c>
      <c r="H219" t="s">
        <v>20</v>
      </c>
      <c r="I219" t="s">
        <v>23</v>
      </c>
      <c r="J219" t="s">
        <v>27</v>
      </c>
    </row>
    <row r="220" spans="1:10" x14ac:dyDescent="0.35">
      <c r="A220">
        <v>219</v>
      </c>
      <c r="B220" s="1">
        <v>44835</v>
      </c>
      <c r="C220" t="s">
        <v>10</v>
      </c>
      <c r="D220" t="s">
        <v>11</v>
      </c>
      <c r="E220" s="2">
        <v>20</v>
      </c>
      <c r="F220">
        <v>9</v>
      </c>
      <c r="G220" s="2">
        <v>180</v>
      </c>
      <c r="H220" t="s">
        <v>16</v>
      </c>
      <c r="I220" t="s">
        <v>23</v>
      </c>
      <c r="J220" t="s">
        <v>21</v>
      </c>
    </row>
    <row r="221" spans="1:10" x14ac:dyDescent="0.35">
      <c r="A221">
        <v>220</v>
      </c>
      <c r="B221" s="1">
        <v>44694</v>
      </c>
      <c r="C221" t="s">
        <v>18</v>
      </c>
      <c r="D221" t="s">
        <v>19</v>
      </c>
      <c r="E221" s="2">
        <v>25</v>
      </c>
      <c r="F221">
        <v>1</v>
      </c>
      <c r="G221" s="2">
        <v>25</v>
      </c>
      <c r="H221" t="s">
        <v>16</v>
      </c>
      <c r="I221" t="s">
        <v>13</v>
      </c>
      <c r="J221" t="s">
        <v>17</v>
      </c>
    </row>
    <row r="222" spans="1:10" x14ac:dyDescent="0.35">
      <c r="A222">
        <v>221</v>
      </c>
      <c r="B222" s="1">
        <v>45011</v>
      </c>
      <c r="C222" t="s">
        <v>26</v>
      </c>
      <c r="D222" t="s">
        <v>11</v>
      </c>
      <c r="E222" s="2">
        <v>60</v>
      </c>
      <c r="F222">
        <v>1</v>
      </c>
      <c r="G222" s="2">
        <v>60</v>
      </c>
      <c r="H222" t="s">
        <v>20</v>
      </c>
      <c r="I222" t="s">
        <v>13</v>
      </c>
      <c r="J222" t="s">
        <v>21</v>
      </c>
    </row>
    <row r="223" spans="1:10" x14ac:dyDescent="0.35">
      <c r="A223">
        <v>222</v>
      </c>
      <c r="B223" s="1">
        <v>44815</v>
      </c>
      <c r="C223" t="s">
        <v>26</v>
      </c>
      <c r="D223" t="s">
        <v>11</v>
      </c>
      <c r="E223" s="2">
        <v>60</v>
      </c>
      <c r="F223">
        <v>6</v>
      </c>
      <c r="G223" s="2">
        <v>360</v>
      </c>
      <c r="H223" t="s">
        <v>16</v>
      </c>
      <c r="I223" t="s">
        <v>23</v>
      </c>
      <c r="J223" t="s">
        <v>24</v>
      </c>
    </row>
    <row r="224" spans="1:10" x14ac:dyDescent="0.35">
      <c r="A224">
        <v>223</v>
      </c>
      <c r="B224" s="1">
        <v>44825</v>
      </c>
      <c r="C224" t="s">
        <v>22</v>
      </c>
      <c r="D224" t="s">
        <v>11</v>
      </c>
      <c r="E224" s="2">
        <v>20</v>
      </c>
      <c r="F224">
        <v>13</v>
      </c>
      <c r="G224" s="2">
        <v>260</v>
      </c>
      <c r="H224" t="s">
        <v>20</v>
      </c>
      <c r="I224" t="s">
        <v>13</v>
      </c>
      <c r="J224" t="s">
        <v>14</v>
      </c>
    </row>
    <row r="225" spans="1:10" x14ac:dyDescent="0.35">
      <c r="A225">
        <v>224</v>
      </c>
      <c r="B225" s="1">
        <v>45008</v>
      </c>
      <c r="C225" t="s">
        <v>18</v>
      </c>
      <c r="D225" t="s">
        <v>19</v>
      </c>
      <c r="E225" s="2">
        <v>25</v>
      </c>
      <c r="F225">
        <v>14</v>
      </c>
      <c r="G225" s="2">
        <v>350</v>
      </c>
      <c r="H225" t="s">
        <v>16</v>
      </c>
      <c r="I225" t="s">
        <v>13</v>
      </c>
      <c r="J225" t="s">
        <v>17</v>
      </c>
    </row>
    <row r="226" spans="1:10" x14ac:dyDescent="0.35">
      <c r="A226">
        <v>225</v>
      </c>
      <c r="B226" s="1">
        <v>45001</v>
      </c>
      <c r="C226" t="s">
        <v>25</v>
      </c>
      <c r="D226" t="s">
        <v>11</v>
      </c>
      <c r="E226" s="2">
        <v>50</v>
      </c>
      <c r="F226">
        <v>11</v>
      </c>
      <c r="G226" s="2">
        <v>550</v>
      </c>
      <c r="H226" t="s">
        <v>16</v>
      </c>
      <c r="I226" t="s">
        <v>23</v>
      </c>
      <c r="J226" t="s">
        <v>21</v>
      </c>
    </row>
    <row r="227" spans="1:10" x14ac:dyDescent="0.35">
      <c r="A227">
        <v>226</v>
      </c>
      <c r="B227" s="1">
        <v>44907</v>
      </c>
      <c r="C227" t="s">
        <v>10</v>
      </c>
      <c r="D227" t="s">
        <v>11</v>
      </c>
      <c r="E227" s="2">
        <v>20</v>
      </c>
      <c r="F227">
        <v>13</v>
      </c>
      <c r="G227" s="2">
        <v>260</v>
      </c>
      <c r="H227" t="s">
        <v>20</v>
      </c>
      <c r="I227" t="s">
        <v>23</v>
      </c>
      <c r="J227" t="s">
        <v>17</v>
      </c>
    </row>
    <row r="228" spans="1:10" x14ac:dyDescent="0.35">
      <c r="A228">
        <v>227</v>
      </c>
      <c r="B228" s="1">
        <v>44882</v>
      </c>
      <c r="C228" t="s">
        <v>28</v>
      </c>
      <c r="D228" t="s">
        <v>19</v>
      </c>
      <c r="E228" s="2">
        <v>40</v>
      </c>
      <c r="F228">
        <v>5</v>
      </c>
      <c r="G228" s="2">
        <v>200</v>
      </c>
      <c r="H228" t="s">
        <v>16</v>
      </c>
      <c r="I228" t="s">
        <v>23</v>
      </c>
      <c r="J228" t="s">
        <v>17</v>
      </c>
    </row>
    <row r="229" spans="1:10" x14ac:dyDescent="0.35">
      <c r="A229">
        <v>228</v>
      </c>
      <c r="B229" s="1">
        <v>44870</v>
      </c>
      <c r="C229" t="s">
        <v>22</v>
      </c>
      <c r="D229" t="s">
        <v>11</v>
      </c>
      <c r="E229" s="2">
        <v>20</v>
      </c>
      <c r="F229">
        <v>8</v>
      </c>
      <c r="G229" s="2">
        <v>160</v>
      </c>
      <c r="H229" t="s">
        <v>20</v>
      </c>
      <c r="I229" t="s">
        <v>13</v>
      </c>
      <c r="J229" t="s">
        <v>14</v>
      </c>
    </row>
    <row r="230" spans="1:10" x14ac:dyDescent="0.35">
      <c r="A230">
        <v>229</v>
      </c>
      <c r="B230" s="1">
        <v>44910</v>
      </c>
      <c r="C230" t="s">
        <v>22</v>
      </c>
      <c r="D230" t="s">
        <v>11</v>
      </c>
      <c r="E230" s="2">
        <v>20</v>
      </c>
      <c r="F230">
        <v>7</v>
      </c>
      <c r="G230" s="2">
        <v>140</v>
      </c>
      <c r="H230" t="s">
        <v>12</v>
      </c>
      <c r="I230" t="s">
        <v>13</v>
      </c>
      <c r="J230" t="s">
        <v>21</v>
      </c>
    </row>
    <row r="231" spans="1:10" x14ac:dyDescent="0.35">
      <c r="A231">
        <v>230</v>
      </c>
      <c r="B231" s="1">
        <v>44667</v>
      </c>
      <c r="C231" t="s">
        <v>25</v>
      </c>
      <c r="D231" t="s">
        <v>11</v>
      </c>
      <c r="E231" s="2">
        <v>50</v>
      </c>
      <c r="F231">
        <v>6</v>
      </c>
      <c r="G231" s="2">
        <v>300</v>
      </c>
      <c r="H231" t="s">
        <v>20</v>
      </c>
      <c r="I231" t="s">
        <v>13</v>
      </c>
      <c r="J231" t="s">
        <v>17</v>
      </c>
    </row>
    <row r="232" spans="1:10" x14ac:dyDescent="0.35">
      <c r="A232">
        <v>231</v>
      </c>
      <c r="B232" s="1">
        <v>44667</v>
      </c>
      <c r="C232" t="s">
        <v>18</v>
      </c>
      <c r="D232" t="s">
        <v>19</v>
      </c>
      <c r="E232" s="2">
        <v>25</v>
      </c>
      <c r="F232">
        <v>3</v>
      </c>
      <c r="G232" s="2">
        <v>75</v>
      </c>
      <c r="H232" t="s">
        <v>12</v>
      </c>
      <c r="I232" t="s">
        <v>13</v>
      </c>
      <c r="J232" t="s">
        <v>14</v>
      </c>
    </row>
    <row r="233" spans="1:10" x14ac:dyDescent="0.35">
      <c r="A233">
        <v>232</v>
      </c>
      <c r="B233" s="1">
        <v>44674</v>
      </c>
      <c r="C233" t="s">
        <v>15</v>
      </c>
      <c r="D233" t="s">
        <v>11</v>
      </c>
      <c r="E233" s="2">
        <v>20</v>
      </c>
      <c r="F233">
        <v>13</v>
      </c>
      <c r="G233" s="2">
        <v>260</v>
      </c>
      <c r="H233" t="s">
        <v>16</v>
      </c>
      <c r="I233" t="s">
        <v>23</v>
      </c>
      <c r="J233" t="s">
        <v>14</v>
      </c>
    </row>
    <row r="234" spans="1:10" x14ac:dyDescent="0.35">
      <c r="A234">
        <v>233</v>
      </c>
      <c r="B234" s="1">
        <v>44773</v>
      </c>
      <c r="C234" t="s">
        <v>22</v>
      </c>
      <c r="D234" t="s">
        <v>11</v>
      </c>
      <c r="E234" s="2">
        <v>20</v>
      </c>
      <c r="F234">
        <v>5</v>
      </c>
      <c r="G234" s="2">
        <v>100</v>
      </c>
      <c r="H234" t="s">
        <v>16</v>
      </c>
      <c r="I234" t="s">
        <v>13</v>
      </c>
      <c r="J234" t="s">
        <v>24</v>
      </c>
    </row>
    <row r="235" spans="1:10" x14ac:dyDescent="0.35">
      <c r="A235">
        <v>234</v>
      </c>
      <c r="B235" s="1">
        <v>44769</v>
      </c>
      <c r="C235" t="s">
        <v>22</v>
      </c>
      <c r="D235" t="s">
        <v>11</v>
      </c>
      <c r="E235" s="2">
        <v>20</v>
      </c>
      <c r="F235">
        <v>10</v>
      </c>
      <c r="G235" s="2">
        <v>200</v>
      </c>
      <c r="H235" t="s">
        <v>16</v>
      </c>
      <c r="I235" t="s">
        <v>13</v>
      </c>
      <c r="J235" t="s">
        <v>27</v>
      </c>
    </row>
    <row r="236" spans="1:10" x14ac:dyDescent="0.35">
      <c r="A236">
        <v>235</v>
      </c>
      <c r="B236" s="1">
        <v>44894</v>
      </c>
      <c r="C236" t="s">
        <v>26</v>
      </c>
      <c r="D236" t="s">
        <v>11</v>
      </c>
      <c r="E236" s="2">
        <v>60</v>
      </c>
      <c r="F236">
        <v>10</v>
      </c>
      <c r="G236" s="2">
        <v>600</v>
      </c>
      <c r="H236" t="s">
        <v>16</v>
      </c>
      <c r="I236" t="s">
        <v>23</v>
      </c>
      <c r="J236" t="s">
        <v>17</v>
      </c>
    </row>
    <row r="237" spans="1:10" x14ac:dyDescent="0.35">
      <c r="A237">
        <v>236</v>
      </c>
      <c r="B237" s="1">
        <v>44738</v>
      </c>
      <c r="C237" t="s">
        <v>15</v>
      </c>
      <c r="D237" t="s">
        <v>11</v>
      </c>
      <c r="E237" s="2">
        <v>20</v>
      </c>
      <c r="F237">
        <v>12</v>
      </c>
      <c r="G237" s="2">
        <v>240</v>
      </c>
      <c r="H237" t="s">
        <v>12</v>
      </c>
      <c r="I237" t="s">
        <v>23</v>
      </c>
      <c r="J237" t="s">
        <v>21</v>
      </c>
    </row>
    <row r="238" spans="1:10" x14ac:dyDescent="0.35">
      <c r="A238">
        <v>237</v>
      </c>
      <c r="B238" s="1">
        <v>44873</v>
      </c>
      <c r="C238" t="s">
        <v>22</v>
      </c>
      <c r="D238" t="s">
        <v>11</v>
      </c>
      <c r="E238" s="2">
        <v>20</v>
      </c>
      <c r="F238">
        <v>13</v>
      </c>
      <c r="G238" s="2">
        <v>260</v>
      </c>
      <c r="H238" t="s">
        <v>16</v>
      </c>
      <c r="I238" t="s">
        <v>23</v>
      </c>
      <c r="J238" t="s">
        <v>27</v>
      </c>
    </row>
    <row r="239" spans="1:10" x14ac:dyDescent="0.35">
      <c r="A239">
        <v>238</v>
      </c>
      <c r="B239" s="1">
        <v>44677</v>
      </c>
      <c r="C239" t="s">
        <v>15</v>
      </c>
      <c r="D239" t="s">
        <v>11</v>
      </c>
      <c r="E239" s="2">
        <v>20</v>
      </c>
      <c r="F239">
        <v>13</v>
      </c>
      <c r="G239" s="2">
        <v>260</v>
      </c>
      <c r="H239" t="s">
        <v>16</v>
      </c>
      <c r="I239" t="s">
        <v>13</v>
      </c>
      <c r="J239" t="s">
        <v>24</v>
      </c>
    </row>
    <row r="240" spans="1:10" x14ac:dyDescent="0.35">
      <c r="A240">
        <v>239</v>
      </c>
      <c r="B240" s="1">
        <v>44899</v>
      </c>
      <c r="C240" t="s">
        <v>25</v>
      </c>
      <c r="D240" t="s">
        <v>11</v>
      </c>
      <c r="E240" s="2">
        <v>50</v>
      </c>
      <c r="F240">
        <v>4</v>
      </c>
      <c r="G240" s="2">
        <v>200</v>
      </c>
      <c r="H240" t="s">
        <v>20</v>
      </c>
      <c r="I240" t="s">
        <v>13</v>
      </c>
      <c r="J240" t="s">
        <v>21</v>
      </c>
    </row>
    <row r="241" spans="1:10" x14ac:dyDescent="0.35">
      <c r="A241">
        <v>240</v>
      </c>
      <c r="B241" s="1">
        <v>44906</v>
      </c>
      <c r="C241" t="s">
        <v>26</v>
      </c>
      <c r="D241" t="s">
        <v>11</v>
      </c>
      <c r="E241" s="2">
        <v>60</v>
      </c>
      <c r="F241">
        <v>10</v>
      </c>
      <c r="G241" s="2">
        <v>600</v>
      </c>
      <c r="H241" t="s">
        <v>16</v>
      </c>
      <c r="I241" t="s">
        <v>23</v>
      </c>
      <c r="J241" t="s">
        <v>24</v>
      </c>
    </row>
    <row r="242" spans="1:10" x14ac:dyDescent="0.35">
      <c r="A242">
        <v>241</v>
      </c>
      <c r="B242" s="1">
        <v>44718</v>
      </c>
      <c r="C242" t="s">
        <v>18</v>
      </c>
      <c r="D242" t="s">
        <v>19</v>
      </c>
      <c r="E242" s="2">
        <v>25</v>
      </c>
      <c r="F242">
        <v>2</v>
      </c>
      <c r="G242" s="2">
        <v>50</v>
      </c>
      <c r="H242" t="s">
        <v>16</v>
      </c>
      <c r="I242" t="s">
        <v>13</v>
      </c>
      <c r="J242" t="s">
        <v>17</v>
      </c>
    </row>
    <row r="243" spans="1:10" x14ac:dyDescent="0.35">
      <c r="A243">
        <v>242</v>
      </c>
      <c r="B243" s="1">
        <v>44918</v>
      </c>
      <c r="C243" t="s">
        <v>28</v>
      </c>
      <c r="D243" t="s">
        <v>19</v>
      </c>
      <c r="E243" s="2">
        <v>40</v>
      </c>
      <c r="F243">
        <v>4</v>
      </c>
      <c r="G243" s="2">
        <v>160</v>
      </c>
      <c r="H243" t="s">
        <v>20</v>
      </c>
      <c r="I243" t="s">
        <v>23</v>
      </c>
      <c r="J243" t="s">
        <v>27</v>
      </c>
    </row>
    <row r="244" spans="1:10" x14ac:dyDescent="0.35">
      <c r="A244">
        <v>243</v>
      </c>
      <c r="B244" s="1">
        <v>44877</v>
      </c>
      <c r="C244" t="s">
        <v>22</v>
      </c>
      <c r="D244" t="s">
        <v>11</v>
      </c>
      <c r="E244" s="2">
        <v>20</v>
      </c>
      <c r="F244">
        <v>5</v>
      </c>
      <c r="G244" s="2">
        <v>100</v>
      </c>
      <c r="H244" t="s">
        <v>16</v>
      </c>
      <c r="I244" t="s">
        <v>23</v>
      </c>
      <c r="J244" t="s">
        <v>27</v>
      </c>
    </row>
    <row r="245" spans="1:10" x14ac:dyDescent="0.35">
      <c r="A245">
        <v>244</v>
      </c>
      <c r="B245" s="1">
        <v>44887</v>
      </c>
      <c r="C245" t="s">
        <v>26</v>
      </c>
      <c r="D245" t="s">
        <v>11</v>
      </c>
      <c r="E245" s="2">
        <v>60</v>
      </c>
      <c r="F245">
        <v>10</v>
      </c>
      <c r="G245" s="2">
        <v>600</v>
      </c>
      <c r="H245" t="s">
        <v>20</v>
      </c>
      <c r="I245" t="s">
        <v>23</v>
      </c>
      <c r="J245" t="s">
        <v>27</v>
      </c>
    </row>
    <row r="246" spans="1:10" x14ac:dyDescent="0.35">
      <c r="A246">
        <v>245</v>
      </c>
      <c r="B246" s="1">
        <v>44837</v>
      </c>
      <c r="C246" t="s">
        <v>15</v>
      </c>
      <c r="D246" t="s">
        <v>11</v>
      </c>
      <c r="E246" s="2">
        <v>20</v>
      </c>
      <c r="F246">
        <v>2</v>
      </c>
      <c r="G246" s="2">
        <v>40</v>
      </c>
      <c r="H246" t="s">
        <v>16</v>
      </c>
      <c r="I246" t="s">
        <v>23</v>
      </c>
      <c r="J246" t="s">
        <v>24</v>
      </c>
    </row>
    <row r="247" spans="1:10" x14ac:dyDescent="0.35">
      <c r="A247">
        <v>246</v>
      </c>
      <c r="B247" s="1">
        <v>44881</v>
      </c>
      <c r="C247" t="s">
        <v>15</v>
      </c>
      <c r="D247" t="s">
        <v>11</v>
      </c>
      <c r="E247" s="2">
        <v>20</v>
      </c>
      <c r="F247">
        <v>10</v>
      </c>
      <c r="G247" s="2">
        <v>200</v>
      </c>
      <c r="H247" t="s">
        <v>16</v>
      </c>
      <c r="I247" t="s">
        <v>13</v>
      </c>
      <c r="J247" t="s">
        <v>17</v>
      </c>
    </row>
    <row r="248" spans="1:10" x14ac:dyDescent="0.35">
      <c r="A248">
        <v>247</v>
      </c>
      <c r="B248" s="1">
        <v>44837</v>
      </c>
      <c r="C248" t="s">
        <v>18</v>
      </c>
      <c r="D248" t="s">
        <v>19</v>
      </c>
      <c r="E248" s="2">
        <v>25</v>
      </c>
      <c r="F248">
        <v>6</v>
      </c>
      <c r="G248" s="2">
        <v>150</v>
      </c>
      <c r="H248" t="s">
        <v>12</v>
      </c>
      <c r="I248" t="s">
        <v>13</v>
      </c>
      <c r="J248" t="s">
        <v>27</v>
      </c>
    </row>
    <row r="249" spans="1:10" x14ac:dyDescent="0.35">
      <c r="A249">
        <v>248</v>
      </c>
      <c r="B249" s="1">
        <v>44668</v>
      </c>
      <c r="C249" t="s">
        <v>25</v>
      </c>
      <c r="D249" t="s">
        <v>11</v>
      </c>
      <c r="E249" s="2">
        <v>50</v>
      </c>
      <c r="F249">
        <v>5</v>
      </c>
      <c r="G249" s="2">
        <v>250</v>
      </c>
      <c r="H249" t="s">
        <v>20</v>
      </c>
      <c r="I249" t="s">
        <v>23</v>
      </c>
      <c r="J249" t="s">
        <v>27</v>
      </c>
    </row>
    <row r="250" spans="1:10" x14ac:dyDescent="0.35">
      <c r="A250">
        <v>249</v>
      </c>
      <c r="B250" s="1">
        <v>44860</v>
      </c>
      <c r="C250" t="s">
        <v>18</v>
      </c>
      <c r="D250" t="s">
        <v>19</v>
      </c>
      <c r="E250" s="2">
        <v>25</v>
      </c>
      <c r="F250">
        <v>3</v>
      </c>
      <c r="G250" s="2">
        <v>75</v>
      </c>
      <c r="H250" t="s">
        <v>20</v>
      </c>
      <c r="I250" t="s">
        <v>23</v>
      </c>
      <c r="J250" t="s">
        <v>17</v>
      </c>
    </row>
    <row r="251" spans="1:10" x14ac:dyDescent="0.35">
      <c r="A251">
        <v>250</v>
      </c>
      <c r="B251" s="1">
        <v>44880</v>
      </c>
      <c r="C251" t="s">
        <v>18</v>
      </c>
      <c r="D251" t="s">
        <v>19</v>
      </c>
      <c r="E251" s="2">
        <v>25</v>
      </c>
      <c r="F251">
        <v>6</v>
      </c>
      <c r="G251" s="2">
        <v>150</v>
      </c>
      <c r="H251" t="s">
        <v>20</v>
      </c>
      <c r="I251" t="s">
        <v>23</v>
      </c>
      <c r="J251" t="s">
        <v>27</v>
      </c>
    </row>
    <row r="252" spans="1:10" x14ac:dyDescent="0.35">
      <c r="A252">
        <v>251</v>
      </c>
      <c r="B252" s="1">
        <v>44916</v>
      </c>
      <c r="C252" t="s">
        <v>28</v>
      </c>
      <c r="D252" t="s">
        <v>19</v>
      </c>
      <c r="E252" s="2">
        <v>40</v>
      </c>
      <c r="F252">
        <v>13</v>
      </c>
      <c r="G252" s="2">
        <v>520</v>
      </c>
      <c r="H252" t="s">
        <v>12</v>
      </c>
      <c r="I252" t="s">
        <v>23</v>
      </c>
      <c r="J252" t="s">
        <v>17</v>
      </c>
    </row>
    <row r="253" spans="1:10" x14ac:dyDescent="0.35">
      <c r="A253">
        <v>252</v>
      </c>
      <c r="B253" s="1">
        <v>45011</v>
      </c>
      <c r="C253" t="s">
        <v>15</v>
      </c>
      <c r="D253" t="s">
        <v>11</v>
      </c>
      <c r="E253" s="2">
        <v>20</v>
      </c>
      <c r="F253">
        <v>8</v>
      </c>
      <c r="G253" s="2">
        <v>160</v>
      </c>
      <c r="H253" t="s">
        <v>20</v>
      </c>
      <c r="I253" t="s">
        <v>13</v>
      </c>
      <c r="J253" t="s">
        <v>27</v>
      </c>
    </row>
    <row r="254" spans="1:10" x14ac:dyDescent="0.35">
      <c r="A254">
        <v>253</v>
      </c>
      <c r="B254" s="1">
        <v>44730</v>
      </c>
      <c r="C254" t="s">
        <v>18</v>
      </c>
      <c r="D254" t="s">
        <v>19</v>
      </c>
      <c r="E254" s="2">
        <v>25</v>
      </c>
      <c r="F254">
        <v>13</v>
      </c>
      <c r="G254" s="2">
        <v>325</v>
      </c>
      <c r="H254" t="s">
        <v>20</v>
      </c>
      <c r="I254" t="s">
        <v>13</v>
      </c>
      <c r="J254" t="s">
        <v>17</v>
      </c>
    </row>
    <row r="255" spans="1:10" x14ac:dyDescent="0.35">
      <c r="A255">
        <v>254</v>
      </c>
      <c r="B255" s="1">
        <v>44843</v>
      </c>
      <c r="C255" t="s">
        <v>28</v>
      </c>
      <c r="D255" t="s">
        <v>19</v>
      </c>
      <c r="E255" s="2">
        <v>40</v>
      </c>
      <c r="F255">
        <v>12</v>
      </c>
      <c r="G255" s="2">
        <v>480</v>
      </c>
      <c r="H255" t="s">
        <v>12</v>
      </c>
      <c r="I255" t="s">
        <v>23</v>
      </c>
      <c r="J255" t="s">
        <v>17</v>
      </c>
    </row>
    <row r="256" spans="1:10" x14ac:dyDescent="0.35">
      <c r="A256">
        <v>255</v>
      </c>
      <c r="B256" s="1">
        <v>44681</v>
      </c>
      <c r="C256" t="s">
        <v>15</v>
      </c>
      <c r="D256" t="s">
        <v>11</v>
      </c>
      <c r="E256" s="2">
        <v>20</v>
      </c>
      <c r="F256">
        <v>7</v>
      </c>
      <c r="G256" s="2">
        <v>140</v>
      </c>
      <c r="H256" t="s">
        <v>12</v>
      </c>
      <c r="I256" t="s">
        <v>23</v>
      </c>
      <c r="J256" t="s">
        <v>17</v>
      </c>
    </row>
    <row r="257" spans="1:10" x14ac:dyDescent="0.35">
      <c r="A257">
        <v>256</v>
      </c>
      <c r="B257" s="1">
        <v>45001</v>
      </c>
      <c r="C257" t="s">
        <v>10</v>
      </c>
      <c r="D257" t="s">
        <v>11</v>
      </c>
      <c r="E257" s="2">
        <v>20</v>
      </c>
      <c r="F257">
        <v>3</v>
      </c>
      <c r="G257" s="2">
        <v>60</v>
      </c>
      <c r="H257" t="s">
        <v>20</v>
      </c>
      <c r="I257" t="s">
        <v>23</v>
      </c>
      <c r="J257" t="s">
        <v>27</v>
      </c>
    </row>
    <row r="258" spans="1:10" x14ac:dyDescent="0.35">
      <c r="A258">
        <v>257</v>
      </c>
      <c r="B258" s="1">
        <v>44929</v>
      </c>
      <c r="C258" t="s">
        <v>26</v>
      </c>
      <c r="D258" t="s">
        <v>11</v>
      </c>
      <c r="E258" s="2">
        <v>60</v>
      </c>
      <c r="F258">
        <v>10</v>
      </c>
      <c r="G258" s="2">
        <v>600</v>
      </c>
      <c r="H258" t="s">
        <v>16</v>
      </c>
      <c r="I258" t="s">
        <v>23</v>
      </c>
      <c r="J258" t="s">
        <v>27</v>
      </c>
    </row>
    <row r="259" spans="1:10" x14ac:dyDescent="0.35">
      <c r="A259">
        <v>258</v>
      </c>
      <c r="B259" s="1">
        <v>44810</v>
      </c>
      <c r="C259" t="s">
        <v>15</v>
      </c>
      <c r="D259" t="s">
        <v>11</v>
      </c>
      <c r="E259" s="2">
        <v>20</v>
      </c>
      <c r="F259">
        <v>14</v>
      </c>
      <c r="G259" s="2">
        <v>280</v>
      </c>
      <c r="H259" t="s">
        <v>16</v>
      </c>
      <c r="I259" t="s">
        <v>13</v>
      </c>
      <c r="J259" t="s">
        <v>27</v>
      </c>
    </row>
    <row r="260" spans="1:10" x14ac:dyDescent="0.35">
      <c r="A260">
        <v>259</v>
      </c>
      <c r="B260" s="1">
        <v>44883</v>
      </c>
      <c r="C260" t="s">
        <v>26</v>
      </c>
      <c r="D260" t="s">
        <v>11</v>
      </c>
      <c r="E260" s="2">
        <v>60</v>
      </c>
      <c r="F260">
        <v>4</v>
      </c>
      <c r="G260" s="2">
        <v>240</v>
      </c>
      <c r="H260" t="s">
        <v>20</v>
      </c>
      <c r="I260" t="s">
        <v>13</v>
      </c>
      <c r="J260" t="s">
        <v>24</v>
      </c>
    </row>
    <row r="261" spans="1:10" x14ac:dyDescent="0.35">
      <c r="A261">
        <v>260</v>
      </c>
      <c r="B261" s="1">
        <v>44814</v>
      </c>
      <c r="C261" t="s">
        <v>18</v>
      </c>
      <c r="D261" t="s">
        <v>19</v>
      </c>
      <c r="E261" s="2">
        <v>25</v>
      </c>
      <c r="F261">
        <v>2</v>
      </c>
      <c r="G261" s="2">
        <v>50</v>
      </c>
      <c r="H261" t="s">
        <v>20</v>
      </c>
      <c r="I261" t="s">
        <v>23</v>
      </c>
      <c r="J261" t="s">
        <v>14</v>
      </c>
    </row>
    <row r="262" spans="1:10" x14ac:dyDescent="0.35">
      <c r="A262">
        <v>261</v>
      </c>
      <c r="B262" s="1">
        <v>44937</v>
      </c>
      <c r="C262" t="s">
        <v>25</v>
      </c>
      <c r="D262" t="s">
        <v>11</v>
      </c>
      <c r="E262" s="2">
        <v>50</v>
      </c>
      <c r="F262">
        <v>9</v>
      </c>
      <c r="G262" s="2">
        <v>450</v>
      </c>
      <c r="H262" t="s">
        <v>16</v>
      </c>
      <c r="I262" t="s">
        <v>23</v>
      </c>
      <c r="J262" t="s">
        <v>27</v>
      </c>
    </row>
    <row r="263" spans="1:10" x14ac:dyDescent="0.35">
      <c r="A263">
        <v>262</v>
      </c>
      <c r="B263" s="1">
        <v>44990</v>
      </c>
      <c r="C263" t="s">
        <v>15</v>
      </c>
      <c r="D263" t="s">
        <v>11</v>
      </c>
      <c r="E263" s="2">
        <v>20</v>
      </c>
      <c r="F263">
        <v>5</v>
      </c>
      <c r="G263" s="2">
        <v>100</v>
      </c>
      <c r="H263" t="s">
        <v>12</v>
      </c>
      <c r="I263" t="s">
        <v>23</v>
      </c>
      <c r="J263" t="s">
        <v>21</v>
      </c>
    </row>
    <row r="264" spans="1:10" x14ac:dyDescent="0.35">
      <c r="A264">
        <v>263</v>
      </c>
      <c r="B264" s="1">
        <v>44731</v>
      </c>
      <c r="C264" t="s">
        <v>22</v>
      </c>
      <c r="D264" t="s">
        <v>11</v>
      </c>
      <c r="E264" s="2">
        <v>20</v>
      </c>
      <c r="F264">
        <v>2</v>
      </c>
      <c r="G264" s="2">
        <v>40</v>
      </c>
      <c r="H264" t="s">
        <v>16</v>
      </c>
      <c r="I264" t="s">
        <v>13</v>
      </c>
      <c r="J264" t="s">
        <v>21</v>
      </c>
    </row>
    <row r="265" spans="1:10" x14ac:dyDescent="0.35">
      <c r="A265">
        <v>264</v>
      </c>
      <c r="B265" s="1">
        <v>44760</v>
      </c>
      <c r="C265" t="s">
        <v>18</v>
      </c>
      <c r="D265" t="s">
        <v>19</v>
      </c>
      <c r="E265" s="2">
        <v>25</v>
      </c>
      <c r="F265">
        <v>12</v>
      </c>
      <c r="G265" s="2">
        <v>300</v>
      </c>
      <c r="H265" t="s">
        <v>20</v>
      </c>
      <c r="I265" t="s">
        <v>13</v>
      </c>
      <c r="J265" t="s">
        <v>24</v>
      </c>
    </row>
    <row r="266" spans="1:10" x14ac:dyDescent="0.35">
      <c r="A266">
        <v>265</v>
      </c>
      <c r="B266" s="1">
        <v>44788</v>
      </c>
      <c r="C266" t="s">
        <v>15</v>
      </c>
      <c r="D266" t="s">
        <v>11</v>
      </c>
      <c r="E266" s="2">
        <v>20</v>
      </c>
      <c r="F266">
        <v>6</v>
      </c>
      <c r="G266" s="2">
        <v>120</v>
      </c>
      <c r="H266" t="s">
        <v>16</v>
      </c>
      <c r="I266" t="s">
        <v>13</v>
      </c>
      <c r="J266" t="s">
        <v>27</v>
      </c>
    </row>
    <row r="267" spans="1:10" x14ac:dyDescent="0.35">
      <c r="A267">
        <v>266</v>
      </c>
      <c r="B267" s="1">
        <v>44836</v>
      </c>
      <c r="C267" t="s">
        <v>25</v>
      </c>
      <c r="D267" t="s">
        <v>11</v>
      </c>
      <c r="E267" s="2">
        <v>50</v>
      </c>
      <c r="F267">
        <v>10</v>
      </c>
      <c r="G267" s="2">
        <v>500</v>
      </c>
      <c r="H267" t="s">
        <v>20</v>
      </c>
      <c r="I267" t="s">
        <v>23</v>
      </c>
      <c r="J267" t="s">
        <v>14</v>
      </c>
    </row>
    <row r="268" spans="1:10" x14ac:dyDescent="0.35">
      <c r="A268">
        <v>267</v>
      </c>
      <c r="B268" s="1">
        <v>44990</v>
      </c>
      <c r="C268" t="s">
        <v>15</v>
      </c>
      <c r="D268" t="s">
        <v>11</v>
      </c>
      <c r="E268" s="2">
        <v>20</v>
      </c>
      <c r="F268">
        <v>1</v>
      </c>
      <c r="G268" s="2">
        <v>20</v>
      </c>
      <c r="H268" t="s">
        <v>16</v>
      </c>
      <c r="I268" t="s">
        <v>13</v>
      </c>
      <c r="J268" t="s">
        <v>24</v>
      </c>
    </row>
    <row r="269" spans="1:10" x14ac:dyDescent="0.35">
      <c r="A269">
        <v>268</v>
      </c>
      <c r="B269" s="1">
        <v>44962</v>
      </c>
      <c r="C269" t="s">
        <v>28</v>
      </c>
      <c r="D269" t="s">
        <v>19</v>
      </c>
      <c r="E269" s="2">
        <v>40</v>
      </c>
      <c r="F269">
        <v>12</v>
      </c>
      <c r="G269" s="2">
        <v>480</v>
      </c>
      <c r="H269" t="s">
        <v>16</v>
      </c>
      <c r="I269" t="s">
        <v>23</v>
      </c>
      <c r="J269" t="s">
        <v>27</v>
      </c>
    </row>
    <row r="270" spans="1:10" x14ac:dyDescent="0.35">
      <c r="A270">
        <v>269</v>
      </c>
      <c r="B270" s="1">
        <v>44917</v>
      </c>
      <c r="C270" t="s">
        <v>22</v>
      </c>
      <c r="D270" t="s">
        <v>11</v>
      </c>
      <c r="E270" s="2">
        <v>20</v>
      </c>
      <c r="F270">
        <v>2</v>
      </c>
      <c r="G270" s="2">
        <v>40</v>
      </c>
      <c r="H270" t="s">
        <v>12</v>
      </c>
      <c r="I270" t="s">
        <v>23</v>
      </c>
      <c r="J270" t="s">
        <v>27</v>
      </c>
    </row>
    <row r="271" spans="1:10" x14ac:dyDescent="0.35">
      <c r="A271">
        <v>270</v>
      </c>
      <c r="B271" s="1">
        <v>44811</v>
      </c>
      <c r="C271" t="s">
        <v>26</v>
      </c>
      <c r="D271" t="s">
        <v>11</v>
      </c>
      <c r="E271" s="2">
        <v>60</v>
      </c>
      <c r="F271">
        <v>13</v>
      </c>
      <c r="G271" s="2">
        <v>780</v>
      </c>
      <c r="H271" t="s">
        <v>16</v>
      </c>
      <c r="I271" t="s">
        <v>13</v>
      </c>
      <c r="J271" t="s">
        <v>21</v>
      </c>
    </row>
    <row r="272" spans="1:10" x14ac:dyDescent="0.35">
      <c r="A272">
        <v>271</v>
      </c>
      <c r="B272" s="1">
        <v>44684</v>
      </c>
      <c r="C272" t="s">
        <v>15</v>
      </c>
      <c r="D272" t="s">
        <v>11</v>
      </c>
      <c r="E272" s="2">
        <v>20</v>
      </c>
      <c r="F272">
        <v>13</v>
      </c>
      <c r="G272" s="2">
        <v>260</v>
      </c>
      <c r="H272" t="s">
        <v>16</v>
      </c>
      <c r="I272" t="s">
        <v>13</v>
      </c>
      <c r="J272" t="s">
        <v>21</v>
      </c>
    </row>
    <row r="273" spans="1:10" x14ac:dyDescent="0.35">
      <c r="A273">
        <v>272</v>
      </c>
      <c r="B273" s="1">
        <v>44771</v>
      </c>
      <c r="C273" t="s">
        <v>25</v>
      </c>
      <c r="D273" t="s">
        <v>11</v>
      </c>
      <c r="E273" s="2">
        <v>50</v>
      </c>
      <c r="F273">
        <v>5</v>
      </c>
      <c r="G273" s="2">
        <v>250</v>
      </c>
      <c r="H273" t="s">
        <v>20</v>
      </c>
      <c r="I273" t="s">
        <v>23</v>
      </c>
      <c r="J273" t="s">
        <v>14</v>
      </c>
    </row>
    <row r="274" spans="1:10" x14ac:dyDescent="0.35">
      <c r="A274">
        <v>273</v>
      </c>
      <c r="B274" s="1">
        <v>44788</v>
      </c>
      <c r="C274" t="s">
        <v>22</v>
      </c>
      <c r="D274" t="s">
        <v>11</v>
      </c>
      <c r="E274" s="2">
        <v>20</v>
      </c>
      <c r="F274">
        <v>15</v>
      </c>
      <c r="G274" s="2">
        <v>300</v>
      </c>
      <c r="H274" t="s">
        <v>16</v>
      </c>
      <c r="I274" t="s">
        <v>13</v>
      </c>
      <c r="J274" t="s">
        <v>27</v>
      </c>
    </row>
    <row r="275" spans="1:10" x14ac:dyDescent="0.35">
      <c r="A275">
        <v>274</v>
      </c>
      <c r="B275" s="1">
        <v>44930</v>
      </c>
      <c r="C275" t="s">
        <v>18</v>
      </c>
      <c r="D275" t="s">
        <v>19</v>
      </c>
      <c r="E275" s="2">
        <v>25</v>
      </c>
      <c r="F275">
        <v>10</v>
      </c>
      <c r="G275" s="2">
        <v>250</v>
      </c>
      <c r="H275" t="s">
        <v>20</v>
      </c>
      <c r="I275" t="s">
        <v>13</v>
      </c>
      <c r="J275" t="s">
        <v>14</v>
      </c>
    </row>
    <row r="276" spans="1:10" x14ac:dyDescent="0.35">
      <c r="A276">
        <v>275</v>
      </c>
      <c r="B276" s="1">
        <v>44961</v>
      </c>
      <c r="C276" t="s">
        <v>15</v>
      </c>
      <c r="D276" t="s">
        <v>11</v>
      </c>
      <c r="E276" s="2">
        <v>20</v>
      </c>
      <c r="F276">
        <v>15</v>
      </c>
      <c r="G276" s="2">
        <v>300</v>
      </c>
      <c r="H276" t="s">
        <v>20</v>
      </c>
      <c r="I276" t="s">
        <v>13</v>
      </c>
      <c r="J276" t="s">
        <v>14</v>
      </c>
    </row>
    <row r="277" spans="1:10" x14ac:dyDescent="0.35">
      <c r="A277">
        <v>276</v>
      </c>
      <c r="B277" s="1">
        <v>44834</v>
      </c>
      <c r="C277" t="s">
        <v>18</v>
      </c>
      <c r="D277" t="s">
        <v>19</v>
      </c>
      <c r="E277" s="2">
        <v>25</v>
      </c>
      <c r="F277">
        <v>6</v>
      </c>
      <c r="G277" s="2">
        <v>150</v>
      </c>
      <c r="H277" t="s">
        <v>16</v>
      </c>
      <c r="I277" t="s">
        <v>13</v>
      </c>
      <c r="J277" t="s">
        <v>27</v>
      </c>
    </row>
    <row r="278" spans="1:10" x14ac:dyDescent="0.35">
      <c r="A278">
        <v>277</v>
      </c>
      <c r="B278" s="1">
        <v>44903</v>
      </c>
      <c r="C278" t="s">
        <v>28</v>
      </c>
      <c r="D278" t="s">
        <v>19</v>
      </c>
      <c r="E278" s="2">
        <v>40</v>
      </c>
      <c r="F278">
        <v>13</v>
      </c>
      <c r="G278" s="2">
        <v>520</v>
      </c>
      <c r="H278" t="s">
        <v>16</v>
      </c>
      <c r="I278" t="s">
        <v>23</v>
      </c>
      <c r="J278" t="s">
        <v>27</v>
      </c>
    </row>
    <row r="279" spans="1:10" x14ac:dyDescent="0.35">
      <c r="A279">
        <v>278</v>
      </c>
      <c r="B279" s="1">
        <v>44731</v>
      </c>
      <c r="C279" t="s">
        <v>25</v>
      </c>
      <c r="D279" t="s">
        <v>11</v>
      </c>
      <c r="E279" s="2">
        <v>50</v>
      </c>
      <c r="F279">
        <v>6</v>
      </c>
      <c r="G279" s="2">
        <v>300</v>
      </c>
      <c r="H279" t="s">
        <v>20</v>
      </c>
      <c r="I279" t="s">
        <v>23</v>
      </c>
      <c r="J279" t="s">
        <v>14</v>
      </c>
    </row>
    <row r="280" spans="1:10" x14ac:dyDescent="0.35">
      <c r="A280">
        <v>279</v>
      </c>
      <c r="B280" s="1">
        <v>44818</v>
      </c>
      <c r="C280" t="s">
        <v>15</v>
      </c>
      <c r="D280" t="s">
        <v>11</v>
      </c>
      <c r="E280" s="2">
        <v>20</v>
      </c>
      <c r="F280">
        <v>15</v>
      </c>
      <c r="G280" s="2">
        <v>300</v>
      </c>
      <c r="H280" t="s">
        <v>16</v>
      </c>
      <c r="I280" t="s">
        <v>23</v>
      </c>
      <c r="J280" t="s">
        <v>17</v>
      </c>
    </row>
    <row r="281" spans="1:10" x14ac:dyDescent="0.35">
      <c r="A281">
        <v>280</v>
      </c>
      <c r="B281" s="1">
        <v>44843</v>
      </c>
      <c r="C281" t="s">
        <v>22</v>
      </c>
      <c r="D281" t="s">
        <v>11</v>
      </c>
      <c r="E281" s="2">
        <v>20</v>
      </c>
      <c r="F281">
        <v>14</v>
      </c>
      <c r="G281" s="2">
        <v>280</v>
      </c>
      <c r="H281" t="s">
        <v>20</v>
      </c>
      <c r="I281" t="s">
        <v>23</v>
      </c>
      <c r="J281" t="s">
        <v>21</v>
      </c>
    </row>
    <row r="282" spans="1:10" x14ac:dyDescent="0.35">
      <c r="A282">
        <v>281</v>
      </c>
      <c r="B282" s="1">
        <v>44782</v>
      </c>
      <c r="C282" t="s">
        <v>26</v>
      </c>
      <c r="D282" t="s">
        <v>11</v>
      </c>
      <c r="E282" s="2">
        <v>60</v>
      </c>
      <c r="F282">
        <v>3</v>
      </c>
      <c r="G282" s="2">
        <v>180</v>
      </c>
      <c r="H282" t="s">
        <v>16</v>
      </c>
      <c r="I282" t="s">
        <v>23</v>
      </c>
      <c r="J282" t="s">
        <v>17</v>
      </c>
    </row>
    <row r="283" spans="1:10" x14ac:dyDescent="0.35">
      <c r="A283">
        <v>282</v>
      </c>
      <c r="B283" s="1">
        <v>44697</v>
      </c>
      <c r="C283" t="s">
        <v>15</v>
      </c>
      <c r="D283" t="s">
        <v>11</v>
      </c>
      <c r="E283" s="2">
        <v>20</v>
      </c>
      <c r="F283">
        <v>13</v>
      </c>
      <c r="G283" s="2">
        <v>260</v>
      </c>
      <c r="H283" t="s">
        <v>12</v>
      </c>
      <c r="I283" t="s">
        <v>23</v>
      </c>
      <c r="J283" t="s">
        <v>24</v>
      </c>
    </row>
    <row r="284" spans="1:10" x14ac:dyDescent="0.35">
      <c r="A284">
        <v>283</v>
      </c>
      <c r="B284" s="1">
        <v>44744</v>
      </c>
      <c r="C284" t="s">
        <v>22</v>
      </c>
      <c r="D284" t="s">
        <v>11</v>
      </c>
      <c r="E284" s="2">
        <v>20</v>
      </c>
      <c r="F284">
        <v>2</v>
      </c>
      <c r="G284" s="2">
        <v>40</v>
      </c>
      <c r="H284" t="s">
        <v>16</v>
      </c>
      <c r="I284" t="s">
        <v>23</v>
      </c>
      <c r="J284" t="s">
        <v>27</v>
      </c>
    </row>
    <row r="285" spans="1:10" x14ac:dyDescent="0.35">
      <c r="A285">
        <v>284</v>
      </c>
      <c r="B285" s="1">
        <v>44955</v>
      </c>
      <c r="C285" t="s">
        <v>25</v>
      </c>
      <c r="D285" t="s">
        <v>11</v>
      </c>
      <c r="E285" s="2">
        <v>50</v>
      </c>
      <c r="F285">
        <v>7</v>
      </c>
      <c r="G285" s="2">
        <v>350</v>
      </c>
      <c r="H285" t="s">
        <v>12</v>
      </c>
      <c r="I285" t="s">
        <v>13</v>
      </c>
      <c r="J285" t="s">
        <v>17</v>
      </c>
    </row>
    <row r="286" spans="1:10" x14ac:dyDescent="0.35">
      <c r="A286">
        <v>285</v>
      </c>
      <c r="B286" s="1">
        <v>44740</v>
      </c>
      <c r="C286" t="s">
        <v>10</v>
      </c>
      <c r="D286" t="s">
        <v>11</v>
      </c>
      <c r="E286" s="2">
        <v>20</v>
      </c>
      <c r="F286">
        <v>3</v>
      </c>
      <c r="G286" s="2">
        <v>60</v>
      </c>
      <c r="H286" t="s">
        <v>12</v>
      </c>
      <c r="I286" t="s">
        <v>13</v>
      </c>
      <c r="J286" t="s">
        <v>14</v>
      </c>
    </row>
    <row r="287" spans="1:10" x14ac:dyDescent="0.35">
      <c r="A287">
        <v>286</v>
      </c>
      <c r="B287" s="1">
        <v>44909</v>
      </c>
      <c r="C287" t="s">
        <v>15</v>
      </c>
      <c r="D287" t="s">
        <v>11</v>
      </c>
      <c r="E287" s="2">
        <v>20</v>
      </c>
      <c r="F287">
        <v>6</v>
      </c>
      <c r="G287" s="2">
        <v>120</v>
      </c>
      <c r="H287" t="s">
        <v>12</v>
      </c>
      <c r="I287" t="s">
        <v>13</v>
      </c>
      <c r="J287" t="s">
        <v>14</v>
      </c>
    </row>
    <row r="288" spans="1:10" x14ac:dyDescent="0.35">
      <c r="A288">
        <v>287</v>
      </c>
      <c r="B288" s="1">
        <v>44779</v>
      </c>
      <c r="C288" t="s">
        <v>10</v>
      </c>
      <c r="D288" t="s">
        <v>11</v>
      </c>
      <c r="E288" s="2">
        <v>20</v>
      </c>
      <c r="F288">
        <v>3</v>
      </c>
      <c r="G288" s="2">
        <v>60</v>
      </c>
      <c r="H288" t="s">
        <v>16</v>
      </c>
      <c r="I288" t="s">
        <v>13</v>
      </c>
      <c r="J288" t="s">
        <v>24</v>
      </c>
    </row>
    <row r="289" spans="1:10" x14ac:dyDescent="0.35">
      <c r="A289">
        <v>288</v>
      </c>
      <c r="B289" s="1">
        <v>44795</v>
      </c>
      <c r="C289" t="s">
        <v>26</v>
      </c>
      <c r="D289" t="s">
        <v>11</v>
      </c>
      <c r="E289" s="2">
        <v>60</v>
      </c>
      <c r="F289">
        <v>7</v>
      </c>
      <c r="G289" s="2">
        <v>420</v>
      </c>
      <c r="H289" t="s">
        <v>16</v>
      </c>
      <c r="I289" t="s">
        <v>13</v>
      </c>
      <c r="J289" t="s">
        <v>14</v>
      </c>
    </row>
    <row r="290" spans="1:10" x14ac:dyDescent="0.35">
      <c r="A290">
        <v>289</v>
      </c>
      <c r="B290" s="1">
        <v>44893</v>
      </c>
      <c r="C290" t="s">
        <v>10</v>
      </c>
      <c r="D290" t="s">
        <v>11</v>
      </c>
      <c r="E290" s="2">
        <v>20</v>
      </c>
      <c r="F290">
        <v>7</v>
      </c>
      <c r="G290" s="2">
        <v>140</v>
      </c>
      <c r="H290" t="s">
        <v>20</v>
      </c>
      <c r="I290" t="s">
        <v>23</v>
      </c>
      <c r="J290" t="s">
        <v>27</v>
      </c>
    </row>
    <row r="291" spans="1:10" x14ac:dyDescent="0.35">
      <c r="A291">
        <v>290</v>
      </c>
      <c r="B291" s="1">
        <v>44684</v>
      </c>
      <c r="C291" t="s">
        <v>22</v>
      </c>
      <c r="D291" t="s">
        <v>11</v>
      </c>
      <c r="E291" s="2">
        <v>20</v>
      </c>
      <c r="F291">
        <v>7</v>
      </c>
      <c r="G291" s="2">
        <v>140</v>
      </c>
      <c r="H291" t="s">
        <v>16</v>
      </c>
      <c r="I291" t="s">
        <v>23</v>
      </c>
      <c r="J291" t="s">
        <v>24</v>
      </c>
    </row>
    <row r="292" spans="1:10" x14ac:dyDescent="0.35">
      <c r="A292">
        <v>291</v>
      </c>
      <c r="B292" s="1">
        <v>44953</v>
      </c>
      <c r="C292" t="s">
        <v>25</v>
      </c>
      <c r="D292" t="s">
        <v>11</v>
      </c>
      <c r="E292" s="2">
        <v>50</v>
      </c>
      <c r="F292">
        <v>8</v>
      </c>
      <c r="G292" s="2">
        <v>400</v>
      </c>
      <c r="H292" t="s">
        <v>20</v>
      </c>
      <c r="I292" t="s">
        <v>23</v>
      </c>
      <c r="J292" t="s">
        <v>14</v>
      </c>
    </row>
    <row r="293" spans="1:10" x14ac:dyDescent="0.35">
      <c r="A293">
        <v>292</v>
      </c>
      <c r="B293" s="1">
        <v>44942</v>
      </c>
      <c r="C293" t="s">
        <v>25</v>
      </c>
      <c r="D293" t="s">
        <v>11</v>
      </c>
      <c r="E293" s="2">
        <v>50</v>
      </c>
      <c r="F293">
        <v>2</v>
      </c>
      <c r="G293" s="2">
        <v>100</v>
      </c>
      <c r="H293" t="s">
        <v>16</v>
      </c>
      <c r="I293" t="s">
        <v>23</v>
      </c>
      <c r="J293" t="s">
        <v>27</v>
      </c>
    </row>
    <row r="294" spans="1:10" x14ac:dyDescent="0.35">
      <c r="A294">
        <v>293</v>
      </c>
      <c r="B294" s="1">
        <v>44672</v>
      </c>
      <c r="C294" t="s">
        <v>22</v>
      </c>
      <c r="D294" t="s">
        <v>11</v>
      </c>
      <c r="E294" s="2">
        <v>20</v>
      </c>
      <c r="F294">
        <v>8</v>
      </c>
      <c r="G294" s="2">
        <v>160</v>
      </c>
      <c r="H294" t="s">
        <v>20</v>
      </c>
      <c r="I294" t="s">
        <v>23</v>
      </c>
      <c r="J294" t="s">
        <v>24</v>
      </c>
    </row>
    <row r="295" spans="1:10" x14ac:dyDescent="0.35">
      <c r="A295">
        <v>294</v>
      </c>
      <c r="B295" s="1">
        <v>44827</v>
      </c>
      <c r="C295" t="s">
        <v>10</v>
      </c>
      <c r="D295" t="s">
        <v>11</v>
      </c>
      <c r="E295" s="2">
        <v>20</v>
      </c>
      <c r="F295">
        <v>1</v>
      </c>
      <c r="G295" s="2">
        <v>20</v>
      </c>
      <c r="H295" t="s">
        <v>16</v>
      </c>
      <c r="I295" t="s">
        <v>23</v>
      </c>
      <c r="J295" t="s">
        <v>21</v>
      </c>
    </row>
    <row r="296" spans="1:10" x14ac:dyDescent="0.35">
      <c r="A296">
        <v>295</v>
      </c>
      <c r="B296" s="1">
        <v>44763</v>
      </c>
      <c r="C296" t="s">
        <v>26</v>
      </c>
      <c r="D296" t="s">
        <v>11</v>
      </c>
      <c r="E296" s="2">
        <v>60</v>
      </c>
      <c r="F296">
        <v>7</v>
      </c>
      <c r="G296" s="2">
        <v>420</v>
      </c>
      <c r="H296" t="s">
        <v>16</v>
      </c>
      <c r="I296" t="s">
        <v>13</v>
      </c>
      <c r="J296" t="s">
        <v>27</v>
      </c>
    </row>
    <row r="297" spans="1:10" x14ac:dyDescent="0.35">
      <c r="A297">
        <v>296</v>
      </c>
      <c r="B297" s="1">
        <v>44963</v>
      </c>
      <c r="C297" t="s">
        <v>22</v>
      </c>
      <c r="D297" t="s">
        <v>11</v>
      </c>
      <c r="E297" s="2">
        <v>20</v>
      </c>
      <c r="F297">
        <v>7</v>
      </c>
      <c r="G297" s="2">
        <v>140</v>
      </c>
      <c r="H297" t="s">
        <v>16</v>
      </c>
      <c r="I297" t="s">
        <v>23</v>
      </c>
      <c r="J297" t="s">
        <v>17</v>
      </c>
    </row>
    <row r="298" spans="1:10" x14ac:dyDescent="0.35">
      <c r="A298">
        <v>297</v>
      </c>
      <c r="B298" s="1">
        <v>44681</v>
      </c>
      <c r="C298" t="s">
        <v>26</v>
      </c>
      <c r="D298" t="s">
        <v>11</v>
      </c>
      <c r="E298" s="2">
        <v>60</v>
      </c>
      <c r="F298">
        <v>10</v>
      </c>
      <c r="G298" s="2">
        <v>600</v>
      </c>
      <c r="H298" t="s">
        <v>20</v>
      </c>
      <c r="I298" t="s">
        <v>13</v>
      </c>
      <c r="J298" t="s">
        <v>21</v>
      </c>
    </row>
    <row r="299" spans="1:10" x14ac:dyDescent="0.35">
      <c r="A299">
        <v>298</v>
      </c>
      <c r="B299" s="1">
        <v>44761</v>
      </c>
      <c r="C299" t="s">
        <v>18</v>
      </c>
      <c r="D299" t="s">
        <v>19</v>
      </c>
      <c r="E299" s="2">
        <v>25</v>
      </c>
      <c r="F299">
        <v>9</v>
      </c>
      <c r="G299" s="2">
        <v>225</v>
      </c>
      <c r="H299" t="s">
        <v>16</v>
      </c>
      <c r="I299" t="s">
        <v>23</v>
      </c>
      <c r="J299" t="s">
        <v>17</v>
      </c>
    </row>
    <row r="300" spans="1:10" x14ac:dyDescent="0.35">
      <c r="A300">
        <v>299</v>
      </c>
      <c r="B300" s="1">
        <v>44764</v>
      </c>
      <c r="C300" t="s">
        <v>10</v>
      </c>
      <c r="D300" t="s">
        <v>11</v>
      </c>
      <c r="E300" s="2">
        <v>20</v>
      </c>
      <c r="F300">
        <v>1</v>
      </c>
      <c r="G300" s="2">
        <v>20</v>
      </c>
      <c r="H300" t="s">
        <v>20</v>
      </c>
      <c r="I300" t="s">
        <v>23</v>
      </c>
      <c r="J300" t="s">
        <v>21</v>
      </c>
    </row>
    <row r="301" spans="1:10" x14ac:dyDescent="0.35">
      <c r="A301">
        <v>300</v>
      </c>
      <c r="B301" s="1">
        <v>44739</v>
      </c>
      <c r="C301" t="s">
        <v>10</v>
      </c>
      <c r="D301" t="s">
        <v>11</v>
      </c>
      <c r="E301" s="2">
        <v>20</v>
      </c>
      <c r="F301">
        <v>8</v>
      </c>
      <c r="G301" s="2">
        <v>160</v>
      </c>
      <c r="H301" t="s">
        <v>16</v>
      </c>
      <c r="I301" t="s">
        <v>13</v>
      </c>
      <c r="J301" t="s">
        <v>17</v>
      </c>
    </row>
    <row r="302" spans="1:10" x14ac:dyDescent="0.35">
      <c r="A302">
        <v>301</v>
      </c>
      <c r="B302" s="1">
        <v>44954</v>
      </c>
      <c r="C302" t="s">
        <v>22</v>
      </c>
      <c r="D302" t="s">
        <v>11</v>
      </c>
      <c r="E302" s="2">
        <v>20</v>
      </c>
      <c r="F302">
        <v>7</v>
      </c>
      <c r="G302" s="2">
        <v>140</v>
      </c>
      <c r="H302" t="s">
        <v>16</v>
      </c>
      <c r="I302" t="s">
        <v>13</v>
      </c>
      <c r="J302" t="s">
        <v>14</v>
      </c>
    </row>
    <row r="303" spans="1:10" x14ac:dyDescent="0.35">
      <c r="A303">
        <v>302</v>
      </c>
      <c r="B303" s="1">
        <v>45006</v>
      </c>
      <c r="C303" t="s">
        <v>10</v>
      </c>
      <c r="D303" t="s">
        <v>11</v>
      </c>
      <c r="E303" s="2">
        <v>20</v>
      </c>
      <c r="F303">
        <v>14</v>
      </c>
      <c r="G303" s="2">
        <v>280</v>
      </c>
      <c r="H303" t="s">
        <v>16</v>
      </c>
      <c r="I303" t="s">
        <v>13</v>
      </c>
      <c r="J303" t="s">
        <v>14</v>
      </c>
    </row>
    <row r="304" spans="1:10" x14ac:dyDescent="0.35">
      <c r="A304">
        <v>303</v>
      </c>
      <c r="B304" s="1">
        <v>44744</v>
      </c>
      <c r="C304" t="s">
        <v>18</v>
      </c>
      <c r="D304" t="s">
        <v>19</v>
      </c>
      <c r="E304" s="2">
        <v>25</v>
      </c>
      <c r="F304">
        <v>1</v>
      </c>
      <c r="G304" s="2">
        <v>25</v>
      </c>
      <c r="H304" t="s">
        <v>16</v>
      </c>
      <c r="I304" t="s">
        <v>23</v>
      </c>
      <c r="J304" t="s">
        <v>27</v>
      </c>
    </row>
    <row r="305" spans="1:10" x14ac:dyDescent="0.35">
      <c r="A305">
        <v>304</v>
      </c>
      <c r="B305" s="1">
        <v>44709</v>
      </c>
      <c r="C305" t="s">
        <v>15</v>
      </c>
      <c r="D305" t="s">
        <v>11</v>
      </c>
      <c r="E305" s="2">
        <v>20</v>
      </c>
      <c r="F305">
        <v>15</v>
      </c>
      <c r="G305" s="2">
        <v>300</v>
      </c>
      <c r="H305" t="s">
        <v>20</v>
      </c>
      <c r="I305" t="s">
        <v>13</v>
      </c>
      <c r="J305" t="s">
        <v>24</v>
      </c>
    </row>
    <row r="306" spans="1:10" x14ac:dyDescent="0.35">
      <c r="A306">
        <v>305</v>
      </c>
      <c r="B306" s="1">
        <v>44990</v>
      </c>
      <c r="C306" t="s">
        <v>22</v>
      </c>
      <c r="D306" t="s">
        <v>11</v>
      </c>
      <c r="E306" s="2">
        <v>20</v>
      </c>
      <c r="F306">
        <v>4</v>
      </c>
      <c r="G306" s="2">
        <v>80</v>
      </c>
      <c r="H306" t="s">
        <v>12</v>
      </c>
      <c r="I306" t="s">
        <v>23</v>
      </c>
      <c r="J306" t="s">
        <v>24</v>
      </c>
    </row>
    <row r="307" spans="1:10" x14ac:dyDescent="0.35">
      <c r="A307">
        <v>306</v>
      </c>
      <c r="B307" s="1">
        <v>44988</v>
      </c>
      <c r="C307" t="s">
        <v>28</v>
      </c>
      <c r="D307" t="s">
        <v>19</v>
      </c>
      <c r="E307" s="2">
        <v>40</v>
      </c>
      <c r="F307">
        <v>8</v>
      </c>
      <c r="G307" s="2">
        <v>320</v>
      </c>
      <c r="H307" t="s">
        <v>20</v>
      </c>
      <c r="I307" t="s">
        <v>23</v>
      </c>
      <c r="J307" t="s">
        <v>24</v>
      </c>
    </row>
    <row r="308" spans="1:10" x14ac:dyDescent="0.35">
      <c r="A308">
        <v>307</v>
      </c>
      <c r="B308" s="1">
        <v>44970</v>
      </c>
      <c r="C308" t="s">
        <v>15</v>
      </c>
      <c r="D308" t="s">
        <v>11</v>
      </c>
      <c r="E308" s="2">
        <v>20</v>
      </c>
      <c r="F308">
        <v>8</v>
      </c>
      <c r="G308" s="2">
        <v>160</v>
      </c>
      <c r="H308" t="s">
        <v>16</v>
      </c>
      <c r="I308" t="s">
        <v>13</v>
      </c>
      <c r="J308" t="s">
        <v>21</v>
      </c>
    </row>
    <row r="309" spans="1:10" x14ac:dyDescent="0.35">
      <c r="A309">
        <v>308</v>
      </c>
      <c r="B309" s="1">
        <v>44912</v>
      </c>
      <c r="C309" t="s">
        <v>26</v>
      </c>
      <c r="D309" t="s">
        <v>11</v>
      </c>
      <c r="E309" s="2">
        <v>60</v>
      </c>
      <c r="F309">
        <v>13</v>
      </c>
      <c r="G309" s="2">
        <v>780</v>
      </c>
      <c r="H309" t="s">
        <v>20</v>
      </c>
      <c r="I309" t="s">
        <v>13</v>
      </c>
      <c r="J309" t="s">
        <v>21</v>
      </c>
    </row>
    <row r="310" spans="1:10" x14ac:dyDescent="0.35">
      <c r="A310">
        <v>309</v>
      </c>
      <c r="B310" s="1">
        <v>44848</v>
      </c>
      <c r="C310" t="s">
        <v>26</v>
      </c>
      <c r="D310" t="s">
        <v>11</v>
      </c>
      <c r="E310" s="2">
        <v>60</v>
      </c>
      <c r="F310">
        <v>8</v>
      </c>
      <c r="G310" s="2">
        <v>480</v>
      </c>
      <c r="H310" t="s">
        <v>20</v>
      </c>
      <c r="I310" t="s">
        <v>13</v>
      </c>
      <c r="J310" t="s">
        <v>21</v>
      </c>
    </row>
    <row r="311" spans="1:10" x14ac:dyDescent="0.35">
      <c r="A311">
        <v>310</v>
      </c>
      <c r="B311" s="1">
        <v>44676</v>
      </c>
      <c r="C311" t="s">
        <v>15</v>
      </c>
      <c r="D311" t="s">
        <v>11</v>
      </c>
      <c r="E311" s="2">
        <v>20</v>
      </c>
      <c r="F311">
        <v>4</v>
      </c>
      <c r="G311" s="2">
        <v>80</v>
      </c>
      <c r="H311" t="s">
        <v>16</v>
      </c>
      <c r="I311" t="s">
        <v>13</v>
      </c>
      <c r="J311" t="s">
        <v>17</v>
      </c>
    </row>
    <row r="312" spans="1:10" x14ac:dyDescent="0.35">
      <c r="A312">
        <v>311</v>
      </c>
      <c r="B312" s="1">
        <v>44773</v>
      </c>
      <c r="C312" t="s">
        <v>25</v>
      </c>
      <c r="D312" t="s">
        <v>11</v>
      </c>
      <c r="E312" s="2">
        <v>50</v>
      </c>
      <c r="F312">
        <v>7</v>
      </c>
      <c r="G312" s="2">
        <v>350</v>
      </c>
      <c r="H312" t="s">
        <v>12</v>
      </c>
      <c r="I312" t="s">
        <v>23</v>
      </c>
      <c r="J312" t="s">
        <v>24</v>
      </c>
    </row>
    <row r="313" spans="1:10" x14ac:dyDescent="0.35">
      <c r="A313">
        <v>312</v>
      </c>
      <c r="B313" s="1">
        <v>44923</v>
      </c>
      <c r="C313" t="s">
        <v>28</v>
      </c>
      <c r="D313" t="s">
        <v>19</v>
      </c>
      <c r="E313" s="2">
        <v>40</v>
      </c>
      <c r="F313">
        <v>1</v>
      </c>
      <c r="G313" s="2">
        <v>40</v>
      </c>
      <c r="H313" t="s">
        <v>16</v>
      </c>
      <c r="I313" t="s">
        <v>23</v>
      </c>
      <c r="J313" t="s">
        <v>14</v>
      </c>
    </row>
    <row r="314" spans="1:10" x14ac:dyDescent="0.35">
      <c r="A314">
        <v>313</v>
      </c>
      <c r="B314" s="1">
        <v>44670</v>
      </c>
      <c r="C314" t="s">
        <v>28</v>
      </c>
      <c r="D314" t="s">
        <v>19</v>
      </c>
      <c r="E314" s="2">
        <v>40</v>
      </c>
      <c r="F314">
        <v>1</v>
      </c>
      <c r="G314" s="2">
        <v>40</v>
      </c>
      <c r="H314" t="s">
        <v>16</v>
      </c>
      <c r="I314" t="s">
        <v>13</v>
      </c>
      <c r="J314" t="s">
        <v>27</v>
      </c>
    </row>
    <row r="315" spans="1:10" x14ac:dyDescent="0.35">
      <c r="A315">
        <v>314</v>
      </c>
      <c r="B315" s="1">
        <v>44984</v>
      </c>
      <c r="C315" t="s">
        <v>25</v>
      </c>
      <c r="D315" t="s">
        <v>11</v>
      </c>
      <c r="E315" s="2">
        <v>50</v>
      </c>
      <c r="F315">
        <v>8</v>
      </c>
      <c r="G315" s="2">
        <v>400</v>
      </c>
      <c r="H315" t="s">
        <v>20</v>
      </c>
      <c r="I315" t="s">
        <v>23</v>
      </c>
      <c r="J315" t="s">
        <v>24</v>
      </c>
    </row>
    <row r="316" spans="1:10" x14ac:dyDescent="0.35">
      <c r="A316">
        <v>315</v>
      </c>
      <c r="B316" s="1">
        <v>44977</v>
      </c>
      <c r="C316" t="s">
        <v>28</v>
      </c>
      <c r="D316" t="s">
        <v>19</v>
      </c>
      <c r="E316" s="2">
        <v>40</v>
      </c>
      <c r="F316">
        <v>13</v>
      </c>
      <c r="G316" s="2">
        <v>520</v>
      </c>
      <c r="H316" t="s">
        <v>20</v>
      </c>
      <c r="I316" t="s">
        <v>23</v>
      </c>
      <c r="J316" t="s">
        <v>17</v>
      </c>
    </row>
    <row r="317" spans="1:10" x14ac:dyDescent="0.35">
      <c r="A317">
        <v>316</v>
      </c>
      <c r="B317" s="1">
        <v>44867</v>
      </c>
      <c r="C317" t="s">
        <v>25</v>
      </c>
      <c r="D317" t="s">
        <v>11</v>
      </c>
      <c r="E317" s="2">
        <v>50</v>
      </c>
      <c r="F317">
        <v>4</v>
      </c>
      <c r="G317" s="2">
        <v>200</v>
      </c>
      <c r="H317" t="s">
        <v>20</v>
      </c>
      <c r="I317" t="s">
        <v>13</v>
      </c>
      <c r="J317" t="s">
        <v>24</v>
      </c>
    </row>
    <row r="318" spans="1:10" x14ac:dyDescent="0.35">
      <c r="A318">
        <v>317</v>
      </c>
      <c r="B318" s="1">
        <v>44995</v>
      </c>
      <c r="C318" t="s">
        <v>10</v>
      </c>
      <c r="D318" t="s">
        <v>11</v>
      </c>
      <c r="E318" s="2">
        <v>20</v>
      </c>
      <c r="F318">
        <v>12</v>
      </c>
      <c r="G318" s="2">
        <v>240</v>
      </c>
      <c r="H318" t="s">
        <v>20</v>
      </c>
      <c r="I318" t="s">
        <v>23</v>
      </c>
      <c r="J318" t="s">
        <v>17</v>
      </c>
    </row>
    <row r="319" spans="1:10" x14ac:dyDescent="0.35">
      <c r="A319">
        <v>318</v>
      </c>
      <c r="B319" s="1">
        <v>44916</v>
      </c>
      <c r="C319" t="s">
        <v>10</v>
      </c>
      <c r="D319" t="s">
        <v>11</v>
      </c>
      <c r="E319" s="2">
        <v>20</v>
      </c>
      <c r="F319">
        <v>10</v>
      </c>
      <c r="G319" s="2">
        <v>200</v>
      </c>
      <c r="H319" t="s">
        <v>20</v>
      </c>
      <c r="I319" t="s">
        <v>23</v>
      </c>
      <c r="J319" t="s">
        <v>27</v>
      </c>
    </row>
    <row r="320" spans="1:10" x14ac:dyDescent="0.35">
      <c r="A320">
        <v>319</v>
      </c>
      <c r="B320" s="1">
        <v>44742</v>
      </c>
      <c r="C320" t="s">
        <v>25</v>
      </c>
      <c r="D320" t="s">
        <v>11</v>
      </c>
      <c r="E320" s="2">
        <v>50</v>
      </c>
      <c r="F320">
        <v>15</v>
      </c>
      <c r="G320" s="2">
        <v>750</v>
      </c>
      <c r="H320" t="s">
        <v>16</v>
      </c>
      <c r="I320" t="s">
        <v>13</v>
      </c>
      <c r="J320" t="s">
        <v>17</v>
      </c>
    </row>
    <row r="321" spans="1:10" x14ac:dyDescent="0.35">
      <c r="A321">
        <v>320</v>
      </c>
      <c r="B321" s="1">
        <v>45003</v>
      </c>
      <c r="C321" t="s">
        <v>18</v>
      </c>
      <c r="D321" t="s">
        <v>19</v>
      </c>
      <c r="E321" s="2">
        <v>25</v>
      </c>
      <c r="F321">
        <v>7</v>
      </c>
      <c r="G321" s="2">
        <v>175</v>
      </c>
      <c r="H321" t="s">
        <v>16</v>
      </c>
      <c r="I321" t="s">
        <v>23</v>
      </c>
      <c r="J321" t="s">
        <v>17</v>
      </c>
    </row>
    <row r="322" spans="1:10" x14ac:dyDescent="0.35">
      <c r="A322">
        <v>321</v>
      </c>
      <c r="B322" s="1">
        <v>44965</v>
      </c>
      <c r="C322" t="s">
        <v>25</v>
      </c>
      <c r="D322" t="s">
        <v>11</v>
      </c>
      <c r="E322" s="2">
        <v>50</v>
      </c>
      <c r="F322">
        <v>12</v>
      </c>
      <c r="G322" s="2">
        <v>600</v>
      </c>
      <c r="H322" t="s">
        <v>16</v>
      </c>
      <c r="I322" t="s">
        <v>23</v>
      </c>
      <c r="J322" t="s">
        <v>21</v>
      </c>
    </row>
    <row r="323" spans="1:10" x14ac:dyDescent="0.35">
      <c r="A323">
        <v>322</v>
      </c>
      <c r="B323" s="1">
        <v>44686</v>
      </c>
      <c r="C323" t="s">
        <v>28</v>
      </c>
      <c r="D323" t="s">
        <v>19</v>
      </c>
      <c r="E323" s="2">
        <v>40</v>
      </c>
      <c r="F323">
        <v>11</v>
      </c>
      <c r="G323" s="2">
        <v>440</v>
      </c>
      <c r="H323" t="s">
        <v>16</v>
      </c>
      <c r="I323" t="s">
        <v>13</v>
      </c>
      <c r="J323" t="s">
        <v>24</v>
      </c>
    </row>
    <row r="324" spans="1:10" x14ac:dyDescent="0.35">
      <c r="A324">
        <v>323</v>
      </c>
      <c r="B324" s="1">
        <v>44924</v>
      </c>
      <c r="C324" t="s">
        <v>10</v>
      </c>
      <c r="D324" t="s">
        <v>11</v>
      </c>
      <c r="E324" s="2">
        <v>20</v>
      </c>
      <c r="F324">
        <v>4</v>
      </c>
      <c r="G324" s="2">
        <v>80</v>
      </c>
      <c r="H324" t="s">
        <v>16</v>
      </c>
      <c r="I324" t="s">
        <v>13</v>
      </c>
      <c r="J324" t="s">
        <v>24</v>
      </c>
    </row>
    <row r="325" spans="1:10" x14ac:dyDescent="0.35">
      <c r="A325">
        <v>324</v>
      </c>
      <c r="B325" s="1">
        <v>44760</v>
      </c>
      <c r="C325" t="s">
        <v>18</v>
      </c>
      <c r="D325" t="s">
        <v>19</v>
      </c>
      <c r="E325" s="2">
        <v>25</v>
      </c>
      <c r="F325">
        <v>15</v>
      </c>
      <c r="G325" s="2">
        <v>375</v>
      </c>
      <c r="H325" t="s">
        <v>20</v>
      </c>
      <c r="I325" t="s">
        <v>23</v>
      </c>
      <c r="J325" t="s">
        <v>14</v>
      </c>
    </row>
    <row r="326" spans="1:10" x14ac:dyDescent="0.35">
      <c r="A326">
        <v>325</v>
      </c>
      <c r="B326" s="1">
        <v>44987</v>
      </c>
      <c r="C326" t="s">
        <v>10</v>
      </c>
      <c r="D326" t="s">
        <v>11</v>
      </c>
      <c r="E326" s="2">
        <v>20</v>
      </c>
      <c r="F326">
        <v>12</v>
      </c>
      <c r="G326" s="2">
        <v>240</v>
      </c>
      <c r="H326" t="s">
        <v>12</v>
      </c>
      <c r="I326" t="s">
        <v>23</v>
      </c>
      <c r="J326" t="s">
        <v>17</v>
      </c>
    </row>
    <row r="327" spans="1:10" x14ac:dyDescent="0.35">
      <c r="A327">
        <v>326</v>
      </c>
      <c r="B327" s="1">
        <v>44684</v>
      </c>
      <c r="C327" t="s">
        <v>26</v>
      </c>
      <c r="D327" t="s">
        <v>11</v>
      </c>
      <c r="E327" s="2">
        <v>60</v>
      </c>
      <c r="F327">
        <v>8</v>
      </c>
      <c r="G327" s="2">
        <v>480</v>
      </c>
      <c r="H327" t="s">
        <v>16</v>
      </c>
      <c r="I327" t="s">
        <v>13</v>
      </c>
      <c r="J327" t="s">
        <v>21</v>
      </c>
    </row>
    <row r="328" spans="1:10" x14ac:dyDescent="0.35">
      <c r="A328">
        <v>327</v>
      </c>
      <c r="B328" s="1">
        <v>44894</v>
      </c>
      <c r="C328" t="s">
        <v>25</v>
      </c>
      <c r="D328" t="s">
        <v>11</v>
      </c>
      <c r="E328" s="2">
        <v>50</v>
      </c>
      <c r="F328">
        <v>15</v>
      </c>
      <c r="G328" s="2">
        <v>750</v>
      </c>
      <c r="H328" t="s">
        <v>16</v>
      </c>
      <c r="I328" t="s">
        <v>23</v>
      </c>
      <c r="J328" t="s">
        <v>27</v>
      </c>
    </row>
    <row r="329" spans="1:10" x14ac:dyDescent="0.35">
      <c r="A329">
        <v>328</v>
      </c>
      <c r="B329" s="1">
        <v>44728</v>
      </c>
      <c r="C329" t="s">
        <v>15</v>
      </c>
      <c r="D329" t="s">
        <v>11</v>
      </c>
      <c r="E329" s="2">
        <v>20</v>
      </c>
      <c r="F329">
        <v>3</v>
      </c>
      <c r="G329" s="2">
        <v>60</v>
      </c>
      <c r="H329" t="s">
        <v>20</v>
      </c>
      <c r="I329" t="s">
        <v>13</v>
      </c>
      <c r="J329" t="s">
        <v>21</v>
      </c>
    </row>
    <row r="330" spans="1:10" x14ac:dyDescent="0.35">
      <c r="A330">
        <v>329</v>
      </c>
      <c r="B330" s="1">
        <v>44936</v>
      </c>
      <c r="C330" t="s">
        <v>22</v>
      </c>
      <c r="D330" t="s">
        <v>11</v>
      </c>
      <c r="E330" s="2">
        <v>20</v>
      </c>
      <c r="F330">
        <v>7</v>
      </c>
      <c r="G330" s="2">
        <v>140</v>
      </c>
      <c r="H330" t="s">
        <v>20</v>
      </c>
      <c r="I330" t="s">
        <v>23</v>
      </c>
      <c r="J330" t="s">
        <v>17</v>
      </c>
    </row>
    <row r="331" spans="1:10" x14ac:dyDescent="0.35">
      <c r="A331">
        <v>330</v>
      </c>
      <c r="B331" s="1">
        <v>44826</v>
      </c>
      <c r="C331" t="s">
        <v>22</v>
      </c>
      <c r="D331" t="s">
        <v>11</v>
      </c>
      <c r="E331" s="2">
        <v>20</v>
      </c>
      <c r="F331">
        <v>8</v>
      </c>
      <c r="G331" s="2">
        <v>160</v>
      </c>
      <c r="H331" t="s">
        <v>12</v>
      </c>
      <c r="I331" t="s">
        <v>13</v>
      </c>
      <c r="J331" t="s">
        <v>24</v>
      </c>
    </row>
    <row r="332" spans="1:10" x14ac:dyDescent="0.35">
      <c r="A332">
        <v>331</v>
      </c>
      <c r="B332" s="1">
        <v>44794</v>
      </c>
      <c r="C332" t="s">
        <v>22</v>
      </c>
      <c r="D332" t="s">
        <v>11</v>
      </c>
      <c r="E332" s="2">
        <v>20</v>
      </c>
      <c r="F332">
        <v>4</v>
      </c>
      <c r="G332" s="2">
        <v>80</v>
      </c>
      <c r="H332" t="s">
        <v>20</v>
      </c>
      <c r="I332" t="s">
        <v>23</v>
      </c>
      <c r="J332" t="s">
        <v>21</v>
      </c>
    </row>
    <row r="333" spans="1:10" x14ac:dyDescent="0.35">
      <c r="A333">
        <v>332</v>
      </c>
      <c r="B333" s="1">
        <v>44974</v>
      </c>
      <c r="C333" t="s">
        <v>10</v>
      </c>
      <c r="D333" t="s">
        <v>11</v>
      </c>
      <c r="E333" s="2">
        <v>20</v>
      </c>
      <c r="F333">
        <v>2</v>
      </c>
      <c r="G333" s="2">
        <v>40</v>
      </c>
      <c r="H333" t="s">
        <v>12</v>
      </c>
      <c r="I333" t="s">
        <v>23</v>
      </c>
      <c r="J333" t="s">
        <v>17</v>
      </c>
    </row>
    <row r="334" spans="1:10" x14ac:dyDescent="0.35">
      <c r="A334">
        <v>333</v>
      </c>
      <c r="B334" s="1">
        <v>44864</v>
      </c>
      <c r="C334" t="s">
        <v>18</v>
      </c>
      <c r="D334" t="s">
        <v>19</v>
      </c>
      <c r="E334" s="2">
        <v>25</v>
      </c>
      <c r="F334">
        <v>11</v>
      </c>
      <c r="G334" s="2">
        <v>275</v>
      </c>
      <c r="H334" t="s">
        <v>16</v>
      </c>
      <c r="I334" t="s">
        <v>23</v>
      </c>
      <c r="J334" t="s">
        <v>17</v>
      </c>
    </row>
    <row r="335" spans="1:10" x14ac:dyDescent="0.35">
      <c r="A335">
        <v>334</v>
      </c>
      <c r="B335" s="1">
        <v>44655</v>
      </c>
      <c r="C335" t="s">
        <v>28</v>
      </c>
      <c r="D335" t="s">
        <v>19</v>
      </c>
      <c r="E335" s="2">
        <v>40</v>
      </c>
      <c r="F335">
        <v>4</v>
      </c>
      <c r="G335" s="2">
        <v>160</v>
      </c>
      <c r="H335" t="s">
        <v>16</v>
      </c>
      <c r="I335" t="s">
        <v>23</v>
      </c>
      <c r="J335" t="s">
        <v>21</v>
      </c>
    </row>
    <row r="336" spans="1:10" x14ac:dyDescent="0.35">
      <c r="A336">
        <v>335</v>
      </c>
      <c r="B336" s="1">
        <v>44858</v>
      </c>
      <c r="C336" t="s">
        <v>28</v>
      </c>
      <c r="D336" t="s">
        <v>19</v>
      </c>
      <c r="E336" s="2">
        <v>40</v>
      </c>
      <c r="F336">
        <v>11</v>
      </c>
      <c r="G336" s="2">
        <v>440</v>
      </c>
      <c r="H336" t="s">
        <v>16</v>
      </c>
      <c r="I336" t="s">
        <v>13</v>
      </c>
      <c r="J336" t="s">
        <v>14</v>
      </c>
    </row>
    <row r="337" spans="1:10" x14ac:dyDescent="0.35">
      <c r="A337">
        <v>336</v>
      </c>
      <c r="B337" s="1">
        <v>44807</v>
      </c>
      <c r="C337" t="s">
        <v>18</v>
      </c>
      <c r="D337" t="s">
        <v>19</v>
      </c>
      <c r="E337" s="2">
        <v>25</v>
      </c>
      <c r="F337">
        <v>13</v>
      </c>
      <c r="G337" s="2">
        <v>325</v>
      </c>
      <c r="H337" t="s">
        <v>12</v>
      </c>
      <c r="I337" t="s">
        <v>23</v>
      </c>
      <c r="J337" t="s">
        <v>27</v>
      </c>
    </row>
    <row r="338" spans="1:10" x14ac:dyDescent="0.35">
      <c r="A338">
        <v>337</v>
      </c>
      <c r="B338" s="1">
        <v>44849</v>
      </c>
      <c r="C338" t="s">
        <v>10</v>
      </c>
      <c r="D338" t="s">
        <v>11</v>
      </c>
      <c r="E338" s="2">
        <v>20</v>
      </c>
      <c r="F338">
        <v>14</v>
      </c>
      <c r="G338" s="2">
        <v>280</v>
      </c>
      <c r="H338" t="s">
        <v>20</v>
      </c>
      <c r="I338" t="s">
        <v>23</v>
      </c>
      <c r="J338" t="s">
        <v>27</v>
      </c>
    </row>
    <row r="339" spans="1:10" x14ac:dyDescent="0.35">
      <c r="A339">
        <v>338</v>
      </c>
      <c r="B339" s="1">
        <v>44687</v>
      </c>
      <c r="C339" t="s">
        <v>18</v>
      </c>
      <c r="D339" t="s">
        <v>19</v>
      </c>
      <c r="E339" s="2">
        <v>25</v>
      </c>
      <c r="F339">
        <v>12</v>
      </c>
      <c r="G339" s="2">
        <v>300</v>
      </c>
      <c r="H339" t="s">
        <v>16</v>
      </c>
      <c r="I339" t="s">
        <v>13</v>
      </c>
      <c r="J339" t="s">
        <v>24</v>
      </c>
    </row>
    <row r="340" spans="1:10" x14ac:dyDescent="0.35">
      <c r="A340">
        <v>339</v>
      </c>
      <c r="B340" s="1">
        <v>44973</v>
      </c>
      <c r="C340" t="s">
        <v>18</v>
      </c>
      <c r="D340" t="s">
        <v>19</v>
      </c>
      <c r="E340" s="2">
        <v>25</v>
      </c>
      <c r="F340">
        <v>1</v>
      </c>
      <c r="G340" s="2">
        <v>25</v>
      </c>
      <c r="H340" t="s">
        <v>12</v>
      </c>
      <c r="I340" t="s">
        <v>23</v>
      </c>
      <c r="J340" t="s">
        <v>27</v>
      </c>
    </row>
    <row r="341" spans="1:10" x14ac:dyDescent="0.35">
      <c r="A341">
        <v>340</v>
      </c>
      <c r="B341" s="1">
        <v>44714</v>
      </c>
      <c r="C341" t="s">
        <v>28</v>
      </c>
      <c r="D341" t="s">
        <v>19</v>
      </c>
      <c r="E341" s="2">
        <v>40</v>
      </c>
      <c r="F341">
        <v>4</v>
      </c>
      <c r="G341" s="2">
        <v>160</v>
      </c>
      <c r="H341" t="s">
        <v>16</v>
      </c>
      <c r="I341" t="s">
        <v>23</v>
      </c>
      <c r="J341" t="s">
        <v>21</v>
      </c>
    </row>
    <row r="342" spans="1:10" x14ac:dyDescent="0.35">
      <c r="A342">
        <v>341</v>
      </c>
      <c r="B342" s="1">
        <v>45004</v>
      </c>
      <c r="C342" t="s">
        <v>25</v>
      </c>
      <c r="D342" t="s">
        <v>11</v>
      </c>
      <c r="E342" s="2">
        <v>50</v>
      </c>
      <c r="F342">
        <v>9</v>
      </c>
      <c r="G342" s="2">
        <v>450</v>
      </c>
      <c r="H342" t="s">
        <v>16</v>
      </c>
      <c r="I342" t="s">
        <v>23</v>
      </c>
      <c r="J342" t="s">
        <v>21</v>
      </c>
    </row>
    <row r="343" spans="1:10" x14ac:dyDescent="0.35">
      <c r="A343">
        <v>342</v>
      </c>
      <c r="B343" s="1">
        <v>44996</v>
      </c>
      <c r="C343" t="s">
        <v>15</v>
      </c>
      <c r="D343" t="s">
        <v>11</v>
      </c>
      <c r="E343" s="2">
        <v>20</v>
      </c>
      <c r="F343">
        <v>7</v>
      </c>
      <c r="G343" s="2">
        <v>140</v>
      </c>
      <c r="H343" t="s">
        <v>20</v>
      </c>
      <c r="I343" t="s">
        <v>13</v>
      </c>
      <c r="J343" t="s">
        <v>17</v>
      </c>
    </row>
    <row r="344" spans="1:10" x14ac:dyDescent="0.35">
      <c r="A344">
        <v>343</v>
      </c>
      <c r="B344" s="1">
        <v>44944</v>
      </c>
      <c r="C344" t="s">
        <v>18</v>
      </c>
      <c r="D344" t="s">
        <v>19</v>
      </c>
      <c r="E344" s="2">
        <v>25</v>
      </c>
      <c r="F344">
        <v>5</v>
      </c>
      <c r="G344" s="2">
        <v>125</v>
      </c>
      <c r="H344" t="s">
        <v>16</v>
      </c>
      <c r="I344" t="s">
        <v>13</v>
      </c>
      <c r="J344" t="s">
        <v>17</v>
      </c>
    </row>
    <row r="345" spans="1:10" x14ac:dyDescent="0.35">
      <c r="A345">
        <v>344</v>
      </c>
      <c r="B345" s="1">
        <v>44694</v>
      </c>
      <c r="C345" t="s">
        <v>28</v>
      </c>
      <c r="D345" t="s">
        <v>19</v>
      </c>
      <c r="E345" s="2">
        <v>40</v>
      </c>
      <c r="F345">
        <v>14</v>
      </c>
      <c r="G345" s="2">
        <v>560</v>
      </c>
      <c r="H345" t="s">
        <v>16</v>
      </c>
      <c r="I345" t="s">
        <v>13</v>
      </c>
      <c r="J345" t="s">
        <v>14</v>
      </c>
    </row>
    <row r="346" spans="1:10" x14ac:dyDescent="0.35">
      <c r="A346">
        <v>345</v>
      </c>
      <c r="B346" s="1">
        <v>44690</v>
      </c>
      <c r="C346" t="s">
        <v>22</v>
      </c>
      <c r="D346" t="s">
        <v>11</v>
      </c>
      <c r="E346" s="2">
        <v>20</v>
      </c>
      <c r="F346">
        <v>14</v>
      </c>
      <c r="G346" s="2">
        <v>280</v>
      </c>
      <c r="H346" t="s">
        <v>20</v>
      </c>
      <c r="I346" t="s">
        <v>23</v>
      </c>
      <c r="J346" t="s">
        <v>14</v>
      </c>
    </row>
    <row r="347" spans="1:10" x14ac:dyDescent="0.35">
      <c r="A347">
        <v>346</v>
      </c>
      <c r="B347" s="1">
        <v>44957</v>
      </c>
      <c r="C347" t="s">
        <v>28</v>
      </c>
      <c r="D347" t="s">
        <v>19</v>
      </c>
      <c r="E347" s="2">
        <v>40</v>
      </c>
      <c r="F347">
        <v>12</v>
      </c>
      <c r="G347" s="2">
        <v>480</v>
      </c>
      <c r="H347" t="s">
        <v>16</v>
      </c>
      <c r="I347" t="s">
        <v>13</v>
      </c>
      <c r="J347" t="s">
        <v>24</v>
      </c>
    </row>
    <row r="348" spans="1:10" x14ac:dyDescent="0.35">
      <c r="A348">
        <v>347</v>
      </c>
      <c r="B348" s="1">
        <v>44736</v>
      </c>
      <c r="C348" t="s">
        <v>25</v>
      </c>
      <c r="D348" t="s">
        <v>11</v>
      </c>
      <c r="E348" s="2">
        <v>50</v>
      </c>
      <c r="F348">
        <v>7</v>
      </c>
      <c r="G348" s="2">
        <v>350</v>
      </c>
      <c r="H348" t="s">
        <v>16</v>
      </c>
      <c r="I348" t="s">
        <v>23</v>
      </c>
      <c r="J348" t="s">
        <v>17</v>
      </c>
    </row>
    <row r="349" spans="1:10" x14ac:dyDescent="0.35">
      <c r="A349">
        <v>348</v>
      </c>
      <c r="B349" s="1">
        <v>44823</v>
      </c>
      <c r="C349" t="s">
        <v>15</v>
      </c>
      <c r="D349" t="s">
        <v>11</v>
      </c>
      <c r="E349" s="2">
        <v>20</v>
      </c>
      <c r="F349">
        <v>1</v>
      </c>
      <c r="G349" s="2">
        <v>20</v>
      </c>
      <c r="H349" t="s">
        <v>20</v>
      </c>
      <c r="I349" t="s">
        <v>23</v>
      </c>
      <c r="J349" t="s">
        <v>27</v>
      </c>
    </row>
    <row r="350" spans="1:10" x14ac:dyDescent="0.35">
      <c r="A350">
        <v>349</v>
      </c>
      <c r="B350" s="1">
        <v>44790</v>
      </c>
      <c r="C350" t="s">
        <v>22</v>
      </c>
      <c r="D350" t="s">
        <v>11</v>
      </c>
      <c r="E350" s="2">
        <v>20</v>
      </c>
      <c r="F350">
        <v>5</v>
      </c>
      <c r="G350" s="2">
        <v>100</v>
      </c>
      <c r="H350" t="s">
        <v>16</v>
      </c>
      <c r="I350" t="s">
        <v>23</v>
      </c>
      <c r="J350" t="s">
        <v>21</v>
      </c>
    </row>
    <row r="351" spans="1:10" x14ac:dyDescent="0.35">
      <c r="A351">
        <v>350</v>
      </c>
      <c r="B351" s="1">
        <v>44825</v>
      </c>
      <c r="C351" t="s">
        <v>28</v>
      </c>
      <c r="D351" t="s">
        <v>19</v>
      </c>
      <c r="E351" s="2">
        <v>40</v>
      </c>
      <c r="F351">
        <v>8</v>
      </c>
      <c r="G351" s="2">
        <v>320</v>
      </c>
      <c r="H351" t="s">
        <v>20</v>
      </c>
      <c r="I351" t="s">
        <v>23</v>
      </c>
      <c r="J351" t="s">
        <v>24</v>
      </c>
    </row>
    <row r="352" spans="1:10" x14ac:dyDescent="0.35">
      <c r="A352">
        <v>351</v>
      </c>
      <c r="B352" s="1">
        <v>44750</v>
      </c>
      <c r="C352" t="s">
        <v>25</v>
      </c>
      <c r="D352" t="s">
        <v>11</v>
      </c>
      <c r="E352" s="2">
        <v>50</v>
      </c>
      <c r="F352">
        <v>5</v>
      </c>
      <c r="G352" s="2">
        <v>250</v>
      </c>
      <c r="H352" t="s">
        <v>20</v>
      </c>
      <c r="I352" t="s">
        <v>23</v>
      </c>
      <c r="J352" t="s">
        <v>14</v>
      </c>
    </row>
    <row r="353" spans="1:10" x14ac:dyDescent="0.35">
      <c r="A353">
        <v>352</v>
      </c>
      <c r="B353" s="1">
        <v>44706</v>
      </c>
      <c r="C353" t="s">
        <v>25</v>
      </c>
      <c r="D353" t="s">
        <v>11</v>
      </c>
      <c r="E353" s="2">
        <v>50</v>
      </c>
      <c r="F353">
        <v>11</v>
      </c>
      <c r="G353" s="2">
        <v>550</v>
      </c>
      <c r="H353" t="s">
        <v>16</v>
      </c>
      <c r="I353" t="s">
        <v>23</v>
      </c>
      <c r="J353" t="s">
        <v>14</v>
      </c>
    </row>
    <row r="354" spans="1:10" x14ac:dyDescent="0.35">
      <c r="A354">
        <v>353</v>
      </c>
      <c r="B354" s="1">
        <v>44699</v>
      </c>
      <c r="C354" t="s">
        <v>15</v>
      </c>
      <c r="D354" t="s">
        <v>11</v>
      </c>
      <c r="E354" s="2">
        <v>20</v>
      </c>
      <c r="F354">
        <v>4</v>
      </c>
      <c r="G354" s="2">
        <v>80</v>
      </c>
      <c r="H354" t="s">
        <v>20</v>
      </c>
      <c r="I354" t="s">
        <v>23</v>
      </c>
      <c r="J354" t="s">
        <v>27</v>
      </c>
    </row>
    <row r="355" spans="1:10" x14ac:dyDescent="0.35">
      <c r="A355">
        <v>354</v>
      </c>
      <c r="B355" s="1">
        <v>44942</v>
      </c>
      <c r="C355" t="s">
        <v>22</v>
      </c>
      <c r="D355" t="s">
        <v>11</v>
      </c>
      <c r="E355" s="2">
        <v>20</v>
      </c>
      <c r="F355">
        <v>14</v>
      </c>
      <c r="G355" s="2">
        <v>280</v>
      </c>
      <c r="H355" t="s">
        <v>20</v>
      </c>
      <c r="I355" t="s">
        <v>13</v>
      </c>
      <c r="J355" t="s">
        <v>27</v>
      </c>
    </row>
    <row r="356" spans="1:10" x14ac:dyDescent="0.35">
      <c r="A356">
        <v>355</v>
      </c>
      <c r="B356" s="1">
        <v>45000</v>
      </c>
      <c r="C356" t="s">
        <v>28</v>
      </c>
      <c r="D356" t="s">
        <v>19</v>
      </c>
      <c r="E356" s="2">
        <v>40</v>
      </c>
      <c r="F356">
        <v>4</v>
      </c>
      <c r="G356" s="2">
        <v>160</v>
      </c>
      <c r="H356" t="s">
        <v>20</v>
      </c>
      <c r="I356" t="s">
        <v>13</v>
      </c>
      <c r="J356" t="s">
        <v>27</v>
      </c>
    </row>
    <row r="357" spans="1:10" x14ac:dyDescent="0.35">
      <c r="A357">
        <v>356</v>
      </c>
      <c r="B357" s="1">
        <v>44707</v>
      </c>
      <c r="C357" t="s">
        <v>18</v>
      </c>
      <c r="D357" t="s">
        <v>19</v>
      </c>
      <c r="E357" s="2">
        <v>25</v>
      </c>
      <c r="F357">
        <v>14</v>
      </c>
      <c r="G357" s="2">
        <v>350</v>
      </c>
      <c r="H357" t="s">
        <v>16</v>
      </c>
      <c r="I357" t="s">
        <v>23</v>
      </c>
      <c r="J357" t="s">
        <v>14</v>
      </c>
    </row>
    <row r="358" spans="1:10" x14ac:dyDescent="0.35">
      <c r="A358">
        <v>357</v>
      </c>
      <c r="B358" s="1">
        <v>44825</v>
      </c>
      <c r="C358" t="s">
        <v>26</v>
      </c>
      <c r="D358" t="s">
        <v>11</v>
      </c>
      <c r="E358" s="2">
        <v>60</v>
      </c>
      <c r="F358">
        <v>9</v>
      </c>
      <c r="G358" s="2">
        <v>540</v>
      </c>
      <c r="H358" t="s">
        <v>20</v>
      </c>
      <c r="I358" t="s">
        <v>23</v>
      </c>
      <c r="J358" t="s">
        <v>17</v>
      </c>
    </row>
    <row r="359" spans="1:10" x14ac:dyDescent="0.35">
      <c r="A359">
        <v>358</v>
      </c>
      <c r="B359" s="1">
        <v>44861</v>
      </c>
      <c r="C359" t="s">
        <v>10</v>
      </c>
      <c r="D359" t="s">
        <v>11</v>
      </c>
      <c r="E359" s="2">
        <v>20</v>
      </c>
      <c r="F359">
        <v>6</v>
      </c>
      <c r="G359" s="2">
        <v>120</v>
      </c>
      <c r="H359" t="s">
        <v>16</v>
      </c>
      <c r="I359" t="s">
        <v>13</v>
      </c>
      <c r="J359" t="s">
        <v>14</v>
      </c>
    </row>
    <row r="360" spans="1:10" x14ac:dyDescent="0.35">
      <c r="A360">
        <v>359</v>
      </c>
      <c r="B360" s="1">
        <v>44800</v>
      </c>
      <c r="C360" t="s">
        <v>10</v>
      </c>
      <c r="D360" t="s">
        <v>11</v>
      </c>
      <c r="E360" s="2">
        <v>20</v>
      </c>
      <c r="F360">
        <v>13</v>
      </c>
      <c r="G360" s="2">
        <v>260</v>
      </c>
      <c r="H360" t="s">
        <v>20</v>
      </c>
      <c r="I360" t="s">
        <v>23</v>
      </c>
      <c r="J360" t="s">
        <v>14</v>
      </c>
    </row>
    <row r="361" spans="1:10" x14ac:dyDescent="0.35">
      <c r="A361">
        <v>360</v>
      </c>
      <c r="B361" s="1">
        <v>44840</v>
      </c>
      <c r="C361" t="s">
        <v>28</v>
      </c>
      <c r="D361" t="s">
        <v>19</v>
      </c>
      <c r="E361" s="2">
        <v>40</v>
      </c>
      <c r="F361">
        <v>2</v>
      </c>
      <c r="G361" s="2">
        <v>80</v>
      </c>
      <c r="H361" t="s">
        <v>20</v>
      </c>
      <c r="I361" t="s">
        <v>23</v>
      </c>
      <c r="J361" t="s">
        <v>27</v>
      </c>
    </row>
    <row r="362" spans="1:10" x14ac:dyDescent="0.35">
      <c r="A362">
        <v>361</v>
      </c>
      <c r="B362" s="1">
        <v>44742</v>
      </c>
      <c r="C362" t="s">
        <v>26</v>
      </c>
      <c r="D362" t="s">
        <v>11</v>
      </c>
      <c r="E362" s="2">
        <v>60</v>
      </c>
      <c r="F362">
        <v>15</v>
      </c>
      <c r="G362" s="2">
        <v>900</v>
      </c>
      <c r="H362" t="s">
        <v>12</v>
      </c>
      <c r="I362" t="s">
        <v>23</v>
      </c>
      <c r="J362" t="s">
        <v>14</v>
      </c>
    </row>
    <row r="363" spans="1:10" x14ac:dyDescent="0.35">
      <c r="A363">
        <v>362</v>
      </c>
      <c r="B363" s="1">
        <v>44925</v>
      </c>
      <c r="C363" t="s">
        <v>18</v>
      </c>
      <c r="D363" t="s">
        <v>19</v>
      </c>
      <c r="E363" s="2">
        <v>25</v>
      </c>
      <c r="F363">
        <v>2</v>
      </c>
      <c r="G363" s="2">
        <v>50</v>
      </c>
      <c r="H363" t="s">
        <v>16</v>
      </c>
      <c r="I363" t="s">
        <v>13</v>
      </c>
      <c r="J363" t="s">
        <v>24</v>
      </c>
    </row>
    <row r="364" spans="1:10" x14ac:dyDescent="0.35">
      <c r="A364">
        <v>363</v>
      </c>
      <c r="B364" s="1">
        <v>44690</v>
      </c>
      <c r="C364" t="s">
        <v>25</v>
      </c>
      <c r="D364" t="s">
        <v>11</v>
      </c>
      <c r="E364" s="2">
        <v>50</v>
      </c>
      <c r="F364">
        <v>9</v>
      </c>
      <c r="G364" s="2">
        <v>450</v>
      </c>
      <c r="H364" t="s">
        <v>20</v>
      </c>
      <c r="I364" t="s">
        <v>13</v>
      </c>
      <c r="J364" t="s">
        <v>17</v>
      </c>
    </row>
    <row r="365" spans="1:10" x14ac:dyDescent="0.35">
      <c r="A365">
        <v>364</v>
      </c>
      <c r="B365" s="1">
        <v>44845</v>
      </c>
      <c r="C365" t="s">
        <v>28</v>
      </c>
      <c r="D365" t="s">
        <v>19</v>
      </c>
      <c r="E365" s="2">
        <v>40</v>
      </c>
      <c r="F365">
        <v>2</v>
      </c>
      <c r="G365" s="2">
        <v>80</v>
      </c>
      <c r="H365" t="s">
        <v>20</v>
      </c>
      <c r="I365" t="s">
        <v>13</v>
      </c>
      <c r="J365" t="s">
        <v>14</v>
      </c>
    </row>
    <row r="366" spans="1:10" x14ac:dyDescent="0.35">
      <c r="A366">
        <v>365</v>
      </c>
      <c r="B366" s="1">
        <v>44750</v>
      </c>
      <c r="C366" t="s">
        <v>22</v>
      </c>
      <c r="D366" t="s">
        <v>11</v>
      </c>
      <c r="E366" s="2">
        <v>20</v>
      </c>
      <c r="F366">
        <v>10</v>
      </c>
      <c r="G366" s="2">
        <v>200</v>
      </c>
      <c r="H366" t="s">
        <v>20</v>
      </c>
      <c r="I366" t="s">
        <v>13</v>
      </c>
      <c r="J366" t="s">
        <v>14</v>
      </c>
    </row>
    <row r="367" spans="1:10" x14ac:dyDescent="0.35">
      <c r="A367">
        <v>366</v>
      </c>
      <c r="B367" s="1">
        <v>44895</v>
      </c>
      <c r="C367" t="s">
        <v>18</v>
      </c>
      <c r="D367" t="s">
        <v>19</v>
      </c>
      <c r="E367" s="2">
        <v>25</v>
      </c>
      <c r="F367">
        <v>10</v>
      </c>
      <c r="G367" s="2">
        <v>250</v>
      </c>
      <c r="H367" t="s">
        <v>20</v>
      </c>
      <c r="I367" t="s">
        <v>23</v>
      </c>
      <c r="J367" t="s">
        <v>17</v>
      </c>
    </row>
    <row r="368" spans="1:10" x14ac:dyDescent="0.35">
      <c r="A368">
        <v>367</v>
      </c>
      <c r="B368" s="1">
        <v>44783</v>
      </c>
      <c r="C368" t="s">
        <v>22</v>
      </c>
      <c r="D368" t="s">
        <v>11</v>
      </c>
      <c r="E368" s="2">
        <v>20</v>
      </c>
      <c r="F368">
        <v>6</v>
      </c>
      <c r="G368" s="2">
        <v>120</v>
      </c>
      <c r="H368" t="s">
        <v>12</v>
      </c>
      <c r="I368" t="s">
        <v>13</v>
      </c>
      <c r="J368" t="s">
        <v>17</v>
      </c>
    </row>
    <row r="369" spans="1:10" x14ac:dyDescent="0.35">
      <c r="A369">
        <v>368</v>
      </c>
      <c r="B369" s="1">
        <v>44804</v>
      </c>
      <c r="C369" t="s">
        <v>28</v>
      </c>
      <c r="D369" t="s">
        <v>19</v>
      </c>
      <c r="E369" s="2">
        <v>40</v>
      </c>
      <c r="F369">
        <v>2</v>
      </c>
      <c r="G369" s="2">
        <v>80</v>
      </c>
      <c r="H369" t="s">
        <v>16</v>
      </c>
      <c r="I369" t="s">
        <v>13</v>
      </c>
      <c r="J369" t="s">
        <v>14</v>
      </c>
    </row>
    <row r="370" spans="1:10" x14ac:dyDescent="0.35">
      <c r="A370">
        <v>369</v>
      </c>
      <c r="B370" s="1">
        <v>44745</v>
      </c>
      <c r="C370" t="s">
        <v>26</v>
      </c>
      <c r="D370" t="s">
        <v>11</v>
      </c>
      <c r="E370" s="2">
        <v>60</v>
      </c>
      <c r="F370">
        <v>2</v>
      </c>
      <c r="G370" s="2">
        <v>120</v>
      </c>
      <c r="H370" t="s">
        <v>20</v>
      </c>
      <c r="I370" t="s">
        <v>23</v>
      </c>
      <c r="J370" t="s">
        <v>21</v>
      </c>
    </row>
    <row r="371" spans="1:10" x14ac:dyDescent="0.35">
      <c r="A371">
        <v>370</v>
      </c>
      <c r="B371" s="1">
        <v>44709</v>
      </c>
      <c r="C371" t="s">
        <v>22</v>
      </c>
      <c r="D371" t="s">
        <v>11</v>
      </c>
      <c r="E371" s="2">
        <v>20</v>
      </c>
      <c r="F371">
        <v>5</v>
      </c>
      <c r="G371" s="2">
        <v>100</v>
      </c>
      <c r="H371" t="s">
        <v>12</v>
      </c>
      <c r="I371" t="s">
        <v>23</v>
      </c>
      <c r="J371" t="s">
        <v>27</v>
      </c>
    </row>
    <row r="372" spans="1:10" x14ac:dyDescent="0.35">
      <c r="A372">
        <v>371</v>
      </c>
      <c r="B372" s="1">
        <v>44852</v>
      </c>
      <c r="C372" t="s">
        <v>15</v>
      </c>
      <c r="D372" t="s">
        <v>11</v>
      </c>
      <c r="E372" s="2">
        <v>20</v>
      </c>
      <c r="F372">
        <v>5</v>
      </c>
      <c r="G372" s="2">
        <v>100</v>
      </c>
      <c r="H372" t="s">
        <v>20</v>
      </c>
      <c r="I372" t="s">
        <v>23</v>
      </c>
      <c r="J372" t="s">
        <v>14</v>
      </c>
    </row>
    <row r="373" spans="1:10" x14ac:dyDescent="0.35">
      <c r="A373">
        <v>372</v>
      </c>
      <c r="B373" s="1">
        <v>44884</v>
      </c>
      <c r="C373" t="s">
        <v>25</v>
      </c>
      <c r="D373" t="s">
        <v>11</v>
      </c>
      <c r="E373" s="2">
        <v>50</v>
      </c>
      <c r="F373">
        <v>12</v>
      </c>
      <c r="G373" s="2">
        <v>600</v>
      </c>
      <c r="H373" t="s">
        <v>12</v>
      </c>
      <c r="I373" t="s">
        <v>13</v>
      </c>
      <c r="J373" t="s">
        <v>24</v>
      </c>
    </row>
    <row r="374" spans="1:10" x14ac:dyDescent="0.35">
      <c r="A374">
        <v>373</v>
      </c>
      <c r="B374" s="1">
        <v>44689</v>
      </c>
      <c r="C374" t="s">
        <v>18</v>
      </c>
      <c r="D374" t="s">
        <v>19</v>
      </c>
      <c r="E374" s="2">
        <v>25</v>
      </c>
      <c r="F374">
        <v>12</v>
      </c>
      <c r="G374" s="2">
        <v>300</v>
      </c>
      <c r="H374" t="s">
        <v>16</v>
      </c>
      <c r="I374" t="s">
        <v>23</v>
      </c>
      <c r="J374" t="s">
        <v>27</v>
      </c>
    </row>
    <row r="375" spans="1:10" x14ac:dyDescent="0.35">
      <c r="A375">
        <v>374</v>
      </c>
      <c r="B375" s="1">
        <v>44766</v>
      </c>
      <c r="C375" t="s">
        <v>25</v>
      </c>
      <c r="D375" t="s">
        <v>11</v>
      </c>
      <c r="E375" s="2">
        <v>50</v>
      </c>
      <c r="F375">
        <v>10</v>
      </c>
      <c r="G375" s="2">
        <v>500</v>
      </c>
      <c r="H375" t="s">
        <v>20</v>
      </c>
      <c r="I375" t="s">
        <v>13</v>
      </c>
      <c r="J375" t="s">
        <v>27</v>
      </c>
    </row>
    <row r="376" spans="1:10" x14ac:dyDescent="0.35">
      <c r="A376">
        <v>375</v>
      </c>
      <c r="B376" s="1">
        <v>44882</v>
      </c>
      <c r="C376" t="s">
        <v>22</v>
      </c>
      <c r="D376" t="s">
        <v>11</v>
      </c>
      <c r="E376" s="2">
        <v>20</v>
      </c>
      <c r="F376">
        <v>13</v>
      </c>
      <c r="G376" s="2">
        <v>260</v>
      </c>
      <c r="H376" t="s">
        <v>16</v>
      </c>
      <c r="I376" t="s">
        <v>13</v>
      </c>
      <c r="J376" t="s">
        <v>21</v>
      </c>
    </row>
    <row r="377" spans="1:10" x14ac:dyDescent="0.35">
      <c r="A377">
        <v>376</v>
      </c>
      <c r="B377" s="1">
        <v>44899</v>
      </c>
      <c r="C377" t="s">
        <v>25</v>
      </c>
      <c r="D377" t="s">
        <v>11</v>
      </c>
      <c r="E377" s="2">
        <v>50</v>
      </c>
      <c r="F377">
        <v>15</v>
      </c>
      <c r="G377" s="2">
        <v>750</v>
      </c>
      <c r="H377" t="s">
        <v>16</v>
      </c>
      <c r="I377" t="s">
        <v>13</v>
      </c>
      <c r="J377" t="s">
        <v>27</v>
      </c>
    </row>
    <row r="378" spans="1:10" x14ac:dyDescent="0.35">
      <c r="A378">
        <v>377</v>
      </c>
      <c r="B378" s="1">
        <v>44701</v>
      </c>
      <c r="C378" t="s">
        <v>18</v>
      </c>
      <c r="D378" t="s">
        <v>19</v>
      </c>
      <c r="E378" s="2">
        <v>25</v>
      </c>
      <c r="F378">
        <v>3</v>
      </c>
      <c r="G378" s="2">
        <v>75</v>
      </c>
      <c r="H378" t="s">
        <v>20</v>
      </c>
      <c r="I378" t="s">
        <v>23</v>
      </c>
      <c r="J378" t="s">
        <v>21</v>
      </c>
    </row>
    <row r="379" spans="1:10" x14ac:dyDescent="0.35">
      <c r="A379">
        <v>378</v>
      </c>
      <c r="B379" s="1">
        <v>44675</v>
      </c>
      <c r="C379" t="s">
        <v>15</v>
      </c>
      <c r="D379" t="s">
        <v>11</v>
      </c>
      <c r="E379" s="2">
        <v>20</v>
      </c>
      <c r="F379">
        <v>2</v>
      </c>
      <c r="G379" s="2">
        <v>40</v>
      </c>
      <c r="H379" t="s">
        <v>16</v>
      </c>
      <c r="I379" t="s">
        <v>23</v>
      </c>
      <c r="J379" t="s">
        <v>27</v>
      </c>
    </row>
    <row r="380" spans="1:10" x14ac:dyDescent="0.35">
      <c r="A380">
        <v>379</v>
      </c>
      <c r="B380" s="1">
        <v>44972</v>
      </c>
      <c r="C380" t="s">
        <v>28</v>
      </c>
      <c r="D380" t="s">
        <v>19</v>
      </c>
      <c r="E380" s="2">
        <v>40</v>
      </c>
      <c r="F380">
        <v>14</v>
      </c>
      <c r="G380" s="2">
        <v>560</v>
      </c>
      <c r="H380" t="s">
        <v>12</v>
      </c>
      <c r="I380" t="s">
        <v>13</v>
      </c>
      <c r="J380" t="s">
        <v>17</v>
      </c>
    </row>
    <row r="381" spans="1:10" x14ac:dyDescent="0.35">
      <c r="A381">
        <v>380</v>
      </c>
      <c r="B381" s="1">
        <v>44854</v>
      </c>
      <c r="C381" t="s">
        <v>26</v>
      </c>
      <c r="D381" t="s">
        <v>11</v>
      </c>
      <c r="E381" s="2">
        <v>60</v>
      </c>
      <c r="F381">
        <v>5</v>
      </c>
      <c r="G381" s="2">
        <v>300</v>
      </c>
      <c r="H381" t="s">
        <v>20</v>
      </c>
      <c r="I381" t="s">
        <v>23</v>
      </c>
      <c r="J381" t="s">
        <v>17</v>
      </c>
    </row>
    <row r="382" spans="1:10" x14ac:dyDescent="0.35">
      <c r="A382">
        <v>381</v>
      </c>
      <c r="B382" s="1">
        <v>44983</v>
      </c>
      <c r="C382" t="s">
        <v>15</v>
      </c>
      <c r="D382" t="s">
        <v>11</v>
      </c>
      <c r="E382" s="2">
        <v>20</v>
      </c>
      <c r="F382">
        <v>1</v>
      </c>
      <c r="G382" s="2">
        <v>20</v>
      </c>
      <c r="H382" t="s">
        <v>20</v>
      </c>
      <c r="I382" t="s">
        <v>13</v>
      </c>
      <c r="J382" t="s">
        <v>24</v>
      </c>
    </row>
    <row r="383" spans="1:10" x14ac:dyDescent="0.35">
      <c r="A383">
        <v>382</v>
      </c>
      <c r="B383" s="1">
        <v>44789</v>
      </c>
      <c r="C383" t="s">
        <v>28</v>
      </c>
      <c r="D383" t="s">
        <v>19</v>
      </c>
      <c r="E383" s="2">
        <v>40</v>
      </c>
      <c r="F383">
        <v>9</v>
      </c>
      <c r="G383" s="2">
        <v>360</v>
      </c>
      <c r="H383" t="s">
        <v>16</v>
      </c>
      <c r="I383" t="s">
        <v>23</v>
      </c>
      <c r="J383" t="s">
        <v>14</v>
      </c>
    </row>
    <row r="384" spans="1:10" x14ac:dyDescent="0.35">
      <c r="A384">
        <v>383</v>
      </c>
      <c r="B384" s="1">
        <v>44687</v>
      </c>
      <c r="C384" t="s">
        <v>10</v>
      </c>
      <c r="D384" t="s">
        <v>11</v>
      </c>
      <c r="E384" s="2">
        <v>20</v>
      </c>
      <c r="F384">
        <v>7</v>
      </c>
      <c r="G384" s="2">
        <v>140</v>
      </c>
      <c r="H384" t="s">
        <v>20</v>
      </c>
      <c r="I384" t="s">
        <v>23</v>
      </c>
      <c r="J384" t="s">
        <v>24</v>
      </c>
    </row>
    <row r="385" spans="1:10" x14ac:dyDescent="0.35">
      <c r="A385">
        <v>384</v>
      </c>
      <c r="B385" s="1">
        <v>44856</v>
      </c>
      <c r="C385" t="s">
        <v>18</v>
      </c>
      <c r="D385" t="s">
        <v>19</v>
      </c>
      <c r="E385" s="2">
        <v>25</v>
      </c>
      <c r="F385">
        <v>1</v>
      </c>
      <c r="G385" s="2">
        <v>25</v>
      </c>
      <c r="H385" t="s">
        <v>20</v>
      </c>
      <c r="I385" t="s">
        <v>13</v>
      </c>
      <c r="J385" t="s">
        <v>17</v>
      </c>
    </row>
    <row r="386" spans="1:10" x14ac:dyDescent="0.35">
      <c r="A386">
        <v>385</v>
      </c>
      <c r="B386" s="1">
        <v>44676</v>
      </c>
      <c r="C386" t="s">
        <v>15</v>
      </c>
      <c r="D386" t="s">
        <v>11</v>
      </c>
      <c r="E386" s="2">
        <v>20</v>
      </c>
      <c r="F386">
        <v>5</v>
      </c>
      <c r="G386" s="2">
        <v>100</v>
      </c>
      <c r="H386" t="s">
        <v>16</v>
      </c>
      <c r="I386" t="s">
        <v>13</v>
      </c>
      <c r="J386" t="s">
        <v>24</v>
      </c>
    </row>
    <row r="387" spans="1:10" x14ac:dyDescent="0.35">
      <c r="A387">
        <v>386</v>
      </c>
      <c r="B387" s="1">
        <v>44888</v>
      </c>
      <c r="C387" t="s">
        <v>25</v>
      </c>
      <c r="D387" t="s">
        <v>11</v>
      </c>
      <c r="E387" s="2">
        <v>50</v>
      </c>
      <c r="F387">
        <v>5</v>
      </c>
      <c r="G387" s="2">
        <v>250</v>
      </c>
      <c r="H387" t="s">
        <v>20</v>
      </c>
      <c r="I387" t="s">
        <v>13</v>
      </c>
      <c r="J387" t="s">
        <v>27</v>
      </c>
    </row>
    <row r="388" spans="1:10" x14ac:dyDescent="0.35">
      <c r="A388">
        <v>387</v>
      </c>
      <c r="B388" s="1">
        <v>45002</v>
      </c>
      <c r="C388" t="s">
        <v>18</v>
      </c>
      <c r="D388" t="s">
        <v>19</v>
      </c>
      <c r="E388" s="2">
        <v>25</v>
      </c>
      <c r="F388">
        <v>14</v>
      </c>
      <c r="G388" s="2">
        <v>350</v>
      </c>
      <c r="H388" t="s">
        <v>16</v>
      </c>
      <c r="I388" t="s">
        <v>23</v>
      </c>
      <c r="J388" t="s">
        <v>27</v>
      </c>
    </row>
    <row r="389" spans="1:10" x14ac:dyDescent="0.35">
      <c r="A389">
        <v>388</v>
      </c>
      <c r="B389" s="1">
        <v>44843</v>
      </c>
      <c r="C389" t="s">
        <v>26</v>
      </c>
      <c r="D389" t="s">
        <v>11</v>
      </c>
      <c r="E389" s="2">
        <v>60</v>
      </c>
      <c r="F389">
        <v>14</v>
      </c>
      <c r="G389" s="2">
        <v>840</v>
      </c>
      <c r="H389" t="s">
        <v>16</v>
      </c>
      <c r="I389" t="s">
        <v>13</v>
      </c>
      <c r="J389" t="s">
        <v>21</v>
      </c>
    </row>
    <row r="390" spans="1:10" x14ac:dyDescent="0.35">
      <c r="A390">
        <v>389</v>
      </c>
      <c r="B390" s="1">
        <v>44917</v>
      </c>
      <c r="C390" t="s">
        <v>26</v>
      </c>
      <c r="D390" t="s">
        <v>11</v>
      </c>
      <c r="E390" s="2">
        <v>60</v>
      </c>
      <c r="F390">
        <v>12</v>
      </c>
      <c r="G390" s="2">
        <v>720</v>
      </c>
      <c r="H390" t="s">
        <v>16</v>
      </c>
      <c r="I390" t="s">
        <v>23</v>
      </c>
      <c r="J390" t="s">
        <v>21</v>
      </c>
    </row>
    <row r="391" spans="1:10" x14ac:dyDescent="0.35">
      <c r="A391">
        <v>390</v>
      </c>
      <c r="B391" s="1">
        <v>44730</v>
      </c>
      <c r="C391" t="s">
        <v>18</v>
      </c>
      <c r="D391" t="s">
        <v>19</v>
      </c>
      <c r="E391" s="2">
        <v>25</v>
      </c>
      <c r="F391">
        <v>5</v>
      </c>
      <c r="G391" s="2">
        <v>125</v>
      </c>
      <c r="H391" t="s">
        <v>12</v>
      </c>
      <c r="I391" t="s">
        <v>13</v>
      </c>
      <c r="J391" t="s">
        <v>27</v>
      </c>
    </row>
    <row r="392" spans="1:10" x14ac:dyDescent="0.35">
      <c r="A392">
        <v>391</v>
      </c>
      <c r="B392" s="1">
        <v>44672</v>
      </c>
      <c r="C392" t="s">
        <v>10</v>
      </c>
      <c r="D392" t="s">
        <v>11</v>
      </c>
      <c r="E392" s="2">
        <v>20</v>
      </c>
      <c r="F392">
        <v>1</v>
      </c>
      <c r="G392" s="2">
        <v>20</v>
      </c>
      <c r="H392" t="s">
        <v>20</v>
      </c>
      <c r="I392" t="s">
        <v>23</v>
      </c>
      <c r="J392" t="s">
        <v>14</v>
      </c>
    </row>
    <row r="393" spans="1:10" x14ac:dyDescent="0.35">
      <c r="A393">
        <v>392</v>
      </c>
      <c r="B393" s="1">
        <v>44822</v>
      </c>
      <c r="C393" t="s">
        <v>10</v>
      </c>
      <c r="D393" t="s">
        <v>11</v>
      </c>
      <c r="E393" s="2">
        <v>20</v>
      </c>
      <c r="F393">
        <v>15</v>
      </c>
      <c r="G393" s="2">
        <v>300</v>
      </c>
      <c r="H393" t="s">
        <v>20</v>
      </c>
      <c r="I393" t="s">
        <v>13</v>
      </c>
      <c r="J393" t="s">
        <v>14</v>
      </c>
    </row>
    <row r="394" spans="1:10" x14ac:dyDescent="0.35">
      <c r="A394">
        <v>393</v>
      </c>
      <c r="B394" s="1">
        <v>44744</v>
      </c>
      <c r="C394" t="s">
        <v>18</v>
      </c>
      <c r="D394" t="s">
        <v>19</v>
      </c>
      <c r="E394" s="2">
        <v>25</v>
      </c>
      <c r="F394">
        <v>10</v>
      </c>
      <c r="G394" s="2">
        <v>250</v>
      </c>
      <c r="H394" t="s">
        <v>20</v>
      </c>
      <c r="I394" t="s">
        <v>23</v>
      </c>
      <c r="J394" t="s">
        <v>21</v>
      </c>
    </row>
    <row r="395" spans="1:10" x14ac:dyDescent="0.35">
      <c r="A395">
        <v>394</v>
      </c>
      <c r="B395" s="1">
        <v>44654</v>
      </c>
      <c r="C395" t="s">
        <v>26</v>
      </c>
      <c r="D395" t="s">
        <v>11</v>
      </c>
      <c r="E395" s="2">
        <v>60</v>
      </c>
      <c r="F395">
        <v>1</v>
      </c>
      <c r="G395" s="2">
        <v>60</v>
      </c>
      <c r="H395" t="s">
        <v>16</v>
      </c>
      <c r="I395" t="s">
        <v>23</v>
      </c>
      <c r="J395" t="s">
        <v>24</v>
      </c>
    </row>
    <row r="396" spans="1:10" x14ac:dyDescent="0.35">
      <c r="A396">
        <v>395</v>
      </c>
      <c r="B396" s="1">
        <v>44957</v>
      </c>
      <c r="C396" t="s">
        <v>26</v>
      </c>
      <c r="D396" t="s">
        <v>11</v>
      </c>
      <c r="E396" s="2">
        <v>60</v>
      </c>
      <c r="F396">
        <v>3</v>
      </c>
      <c r="G396" s="2">
        <v>180</v>
      </c>
      <c r="H396" t="s">
        <v>16</v>
      </c>
      <c r="I396" t="s">
        <v>23</v>
      </c>
      <c r="J396" t="s">
        <v>21</v>
      </c>
    </row>
    <row r="397" spans="1:10" x14ac:dyDescent="0.35">
      <c r="A397">
        <v>396</v>
      </c>
      <c r="B397" s="1">
        <v>44865</v>
      </c>
      <c r="C397" t="s">
        <v>25</v>
      </c>
      <c r="D397" t="s">
        <v>11</v>
      </c>
      <c r="E397" s="2">
        <v>50</v>
      </c>
      <c r="F397">
        <v>15</v>
      </c>
      <c r="G397" s="2">
        <v>750</v>
      </c>
      <c r="H397" t="s">
        <v>20</v>
      </c>
      <c r="I397" t="s">
        <v>13</v>
      </c>
      <c r="J397" t="s">
        <v>24</v>
      </c>
    </row>
    <row r="398" spans="1:10" x14ac:dyDescent="0.35">
      <c r="A398">
        <v>397</v>
      </c>
      <c r="B398" s="1">
        <v>44748</v>
      </c>
      <c r="C398" t="s">
        <v>10</v>
      </c>
      <c r="D398" t="s">
        <v>11</v>
      </c>
      <c r="E398" s="2">
        <v>20</v>
      </c>
      <c r="F398">
        <v>2</v>
      </c>
      <c r="G398" s="2">
        <v>40</v>
      </c>
      <c r="H398" t="s">
        <v>20</v>
      </c>
      <c r="I398" t="s">
        <v>23</v>
      </c>
      <c r="J398" t="s">
        <v>17</v>
      </c>
    </row>
    <row r="399" spans="1:10" x14ac:dyDescent="0.35">
      <c r="A399">
        <v>398</v>
      </c>
      <c r="B399" s="1">
        <v>44939</v>
      </c>
      <c r="C399" t="s">
        <v>22</v>
      </c>
      <c r="D399" t="s">
        <v>11</v>
      </c>
      <c r="E399" s="2">
        <v>20</v>
      </c>
      <c r="F399">
        <v>6</v>
      </c>
      <c r="G399" s="2">
        <v>120</v>
      </c>
      <c r="H399" t="s">
        <v>20</v>
      </c>
      <c r="I399" t="s">
        <v>13</v>
      </c>
      <c r="J399" t="s">
        <v>21</v>
      </c>
    </row>
    <row r="400" spans="1:10" x14ac:dyDescent="0.35">
      <c r="A400">
        <v>399</v>
      </c>
      <c r="B400" s="1">
        <v>44736</v>
      </c>
      <c r="C400" t="s">
        <v>22</v>
      </c>
      <c r="D400" t="s">
        <v>11</v>
      </c>
      <c r="E400" s="2">
        <v>20</v>
      </c>
      <c r="F400">
        <v>9</v>
      </c>
      <c r="G400" s="2">
        <v>180</v>
      </c>
      <c r="H400" t="s">
        <v>16</v>
      </c>
      <c r="I400" t="s">
        <v>23</v>
      </c>
      <c r="J400" t="s">
        <v>21</v>
      </c>
    </row>
    <row r="401" spans="1:10" x14ac:dyDescent="0.35">
      <c r="A401">
        <v>400</v>
      </c>
      <c r="B401" s="1">
        <v>44989</v>
      </c>
      <c r="C401" t="s">
        <v>28</v>
      </c>
      <c r="D401" t="s">
        <v>19</v>
      </c>
      <c r="E401" s="2">
        <v>40</v>
      </c>
      <c r="F401">
        <v>15</v>
      </c>
      <c r="G401" s="2">
        <v>600</v>
      </c>
      <c r="H401" t="s">
        <v>16</v>
      </c>
      <c r="I401" t="s">
        <v>23</v>
      </c>
      <c r="J401" t="s">
        <v>24</v>
      </c>
    </row>
    <row r="402" spans="1:10" x14ac:dyDescent="0.35">
      <c r="A402">
        <v>401</v>
      </c>
      <c r="B402" s="1">
        <v>44845</v>
      </c>
      <c r="C402" t="s">
        <v>18</v>
      </c>
      <c r="D402" t="s">
        <v>19</v>
      </c>
      <c r="E402" s="2">
        <v>25</v>
      </c>
      <c r="F402">
        <v>8</v>
      </c>
      <c r="G402" s="2">
        <v>200</v>
      </c>
      <c r="H402" t="s">
        <v>20</v>
      </c>
      <c r="I402" t="s">
        <v>23</v>
      </c>
      <c r="J402" t="s">
        <v>27</v>
      </c>
    </row>
    <row r="403" spans="1:10" x14ac:dyDescent="0.35">
      <c r="A403">
        <v>402</v>
      </c>
      <c r="B403" s="1">
        <v>45004</v>
      </c>
      <c r="C403" t="s">
        <v>25</v>
      </c>
      <c r="D403" t="s">
        <v>11</v>
      </c>
      <c r="E403" s="2">
        <v>50</v>
      </c>
      <c r="F403">
        <v>7</v>
      </c>
      <c r="G403" s="2">
        <v>350</v>
      </c>
      <c r="H403" t="s">
        <v>16</v>
      </c>
      <c r="I403" t="s">
        <v>13</v>
      </c>
      <c r="J403" t="s">
        <v>14</v>
      </c>
    </row>
    <row r="404" spans="1:10" x14ac:dyDescent="0.35">
      <c r="A404">
        <v>403</v>
      </c>
      <c r="B404" s="1">
        <v>44829</v>
      </c>
      <c r="C404" t="s">
        <v>28</v>
      </c>
      <c r="D404" t="s">
        <v>19</v>
      </c>
      <c r="E404" s="2">
        <v>40</v>
      </c>
      <c r="F404">
        <v>3</v>
      </c>
      <c r="G404" s="2">
        <v>120</v>
      </c>
      <c r="H404" t="s">
        <v>20</v>
      </c>
      <c r="I404" t="s">
        <v>23</v>
      </c>
      <c r="J404" t="s">
        <v>27</v>
      </c>
    </row>
    <row r="405" spans="1:10" x14ac:dyDescent="0.35">
      <c r="A405">
        <v>404</v>
      </c>
      <c r="B405" s="1">
        <v>44891</v>
      </c>
      <c r="C405" t="s">
        <v>25</v>
      </c>
      <c r="D405" t="s">
        <v>11</v>
      </c>
      <c r="E405" s="2">
        <v>50</v>
      </c>
      <c r="F405">
        <v>7</v>
      </c>
      <c r="G405" s="2">
        <v>350</v>
      </c>
      <c r="H405" t="s">
        <v>16</v>
      </c>
      <c r="I405" t="s">
        <v>23</v>
      </c>
      <c r="J405" t="s">
        <v>27</v>
      </c>
    </row>
    <row r="406" spans="1:10" x14ac:dyDescent="0.35">
      <c r="A406">
        <v>405</v>
      </c>
      <c r="B406" s="1">
        <v>44908</v>
      </c>
      <c r="C406" t="s">
        <v>18</v>
      </c>
      <c r="D406" t="s">
        <v>19</v>
      </c>
      <c r="E406" s="2">
        <v>25</v>
      </c>
      <c r="F406">
        <v>10</v>
      </c>
      <c r="G406" s="2">
        <v>250</v>
      </c>
      <c r="H406" t="s">
        <v>16</v>
      </c>
      <c r="I406" t="s">
        <v>13</v>
      </c>
      <c r="J406" t="s">
        <v>14</v>
      </c>
    </row>
    <row r="407" spans="1:10" x14ac:dyDescent="0.35">
      <c r="A407">
        <v>406</v>
      </c>
      <c r="B407" s="1">
        <v>44847</v>
      </c>
      <c r="C407" t="s">
        <v>28</v>
      </c>
      <c r="D407" t="s">
        <v>19</v>
      </c>
      <c r="E407" s="2">
        <v>40</v>
      </c>
      <c r="F407">
        <v>4</v>
      </c>
      <c r="G407" s="2">
        <v>160</v>
      </c>
      <c r="H407" t="s">
        <v>20</v>
      </c>
      <c r="I407" t="s">
        <v>23</v>
      </c>
      <c r="J407" t="s">
        <v>17</v>
      </c>
    </row>
    <row r="408" spans="1:10" x14ac:dyDescent="0.35">
      <c r="A408">
        <v>407</v>
      </c>
      <c r="B408" s="1">
        <v>44928</v>
      </c>
      <c r="C408" t="s">
        <v>18</v>
      </c>
      <c r="D408" t="s">
        <v>19</v>
      </c>
      <c r="E408" s="2">
        <v>25</v>
      </c>
      <c r="F408">
        <v>2</v>
      </c>
      <c r="G408" s="2">
        <v>50</v>
      </c>
      <c r="H408" t="s">
        <v>16</v>
      </c>
      <c r="I408" t="s">
        <v>13</v>
      </c>
      <c r="J408" t="s">
        <v>21</v>
      </c>
    </row>
    <row r="409" spans="1:10" x14ac:dyDescent="0.35">
      <c r="A409">
        <v>408</v>
      </c>
      <c r="B409" s="1">
        <v>44839</v>
      </c>
      <c r="C409" t="s">
        <v>15</v>
      </c>
      <c r="D409" t="s">
        <v>11</v>
      </c>
      <c r="E409" s="2">
        <v>20</v>
      </c>
      <c r="F409">
        <v>4</v>
      </c>
      <c r="G409" s="2">
        <v>80</v>
      </c>
      <c r="H409" t="s">
        <v>20</v>
      </c>
      <c r="I409" t="s">
        <v>13</v>
      </c>
      <c r="J409" t="s">
        <v>27</v>
      </c>
    </row>
    <row r="410" spans="1:10" x14ac:dyDescent="0.35">
      <c r="A410">
        <v>409</v>
      </c>
      <c r="B410" s="1">
        <v>44819</v>
      </c>
      <c r="C410" t="s">
        <v>10</v>
      </c>
      <c r="D410" t="s">
        <v>11</v>
      </c>
      <c r="E410" s="2">
        <v>20</v>
      </c>
      <c r="F410">
        <v>9</v>
      </c>
      <c r="G410" s="2">
        <v>180</v>
      </c>
      <c r="H410" t="s">
        <v>16</v>
      </c>
      <c r="I410" t="s">
        <v>23</v>
      </c>
      <c r="J410" t="s">
        <v>24</v>
      </c>
    </row>
    <row r="411" spans="1:10" x14ac:dyDescent="0.35">
      <c r="A411">
        <v>410</v>
      </c>
      <c r="B411" s="1">
        <v>44888</v>
      </c>
      <c r="C411" t="s">
        <v>10</v>
      </c>
      <c r="D411" t="s">
        <v>11</v>
      </c>
      <c r="E411" s="2">
        <v>20</v>
      </c>
      <c r="F411">
        <v>15</v>
      </c>
      <c r="G411" s="2">
        <v>300</v>
      </c>
      <c r="H411" t="s">
        <v>20</v>
      </c>
      <c r="I411" t="s">
        <v>13</v>
      </c>
      <c r="J411" t="s">
        <v>17</v>
      </c>
    </row>
    <row r="412" spans="1:10" x14ac:dyDescent="0.35">
      <c r="A412">
        <v>411</v>
      </c>
      <c r="B412" s="1">
        <v>44885</v>
      </c>
      <c r="C412" t="s">
        <v>22</v>
      </c>
      <c r="D412" t="s">
        <v>11</v>
      </c>
      <c r="E412" s="2">
        <v>20</v>
      </c>
      <c r="F412">
        <v>12</v>
      </c>
      <c r="G412" s="2">
        <v>240</v>
      </c>
      <c r="H412" t="s">
        <v>16</v>
      </c>
      <c r="I412" t="s">
        <v>13</v>
      </c>
      <c r="J412" t="s">
        <v>17</v>
      </c>
    </row>
    <row r="413" spans="1:10" x14ac:dyDescent="0.35">
      <c r="A413">
        <v>412</v>
      </c>
      <c r="B413" s="1">
        <v>44994</v>
      </c>
      <c r="C413" t="s">
        <v>18</v>
      </c>
      <c r="D413" t="s">
        <v>19</v>
      </c>
      <c r="E413" s="2">
        <v>25</v>
      </c>
      <c r="F413">
        <v>14</v>
      </c>
      <c r="G413" s="2">
        <v>350</v>
      </c>
      <c r="H413" t="s">
        <v>12</v>
      </c>
      <c r="I413" t="s">
        <v>13</v>
      </c>
      <c r="J413" t="s">
        <v>17</v>
      </c>
    </row>
    <row r="414" spans="1:10" x14ac:dyDescent="0.35">
      <c r="A414">
        <v>413</v>
      </c>
      <c r="B414" s="1">
        <v>44654</v>
      </c>
      <c r="C414" t="s">
        <v>10</v>
      </c>
      <c r="D414" t="s">
        <v>11</v>
      </c>
      <c r="E414" s="2">
        <v>20</v>
      </c>
      <c r="F414">
        <v>10</v>
      </c>
      <c r="G414" s="2">
        <v>200</v>
      </c>
      <c r="H414" t="s">
        <v>20</v>
      </c>
      <c r="I414" t="s">
        <v>23</v>
      </c>
      <c r="J414" t="s">
        <v>27</v>
      </c>
    </row>
    <row r="415" spans="1:10" x14ac:dyDescent="0.35">
      <c r="A415">
        <v>414</v>
      </c>
      <c r="B415" s="1">
        <v>44947</v>
      </c>
      <c r="C415" t="s">
        <v>28</v>
      </c>
      <c r="D415" t="s">
        <v>19</v>
      </c>
      <c r="E415" s="2">
        <v>40</v>
      </c>
      <c r="F415">
        <v>13</v>
      </c>
      <c r="G415" s="2">
        <v>520</v>
      </c>
      <c r="H415" t="s">
        <v>12</v>
      </c>
      <c r="I415" t="s">
        <v>13</v>
      </c>
      <c r="J415" t="s">
        <v>14</v>
      </c>
    </row>
    <row r="416" spans="1:10" x14ac:dyDescent="0.35">
      <c r="A416">
        <v>415</v>
      </c>
      <c r="B416" s="1">
        <v>44900</v>
      </c>
      <c r="C416" t="s">
        <v>15</v>
      </c>
      <c r="D416" t="s">
        <v>11</v>
      </c>
      <c r="E416" s="2">
        <v>20</v>
      </c>
      <c r="F416">
        <v>8</v>
      </c>
      <c r="G416" s="2">
        <v>160</v>
      </c>
      <c r="H416" t="s">
        <v>20</v>
      </c>
      <c r="I416" t="s">
        <v>13</v>
      </c>
      <c r="J416" t="s">
        <v>21</v>
      </c>
    </row>
    <row r="417" spans="1:10" x14ac:dyDescent="0.35">
      <c r="A417">
        <v>416</v>
      </c>
      <c r="B417" s="1">
        <v>44778</v>
      </c>
      <c r="C417" t="s">
        <v>26</v>
      </c>
      <c r="D417" t="s">
        <v>11</v>
      </c>
      <c r="E417" s="2">
        <v>60</v>
      </c>
      <c r="F417">
        <v>9</v>
      </c>
      <c r="G417" s="2">
        <v>540</v>
      </c>
      <c r="H417" t="s">
        <v>12</v>
      </c>
      <c r="I417" t="s">
        <v>13</v>
      </c>
      <c r="J417" t="s">
        <v>24</v>
      </c>
    </row>
    <row r="418" spans="1:10" x14ac:dyDescent="0.35">
      <c r="A418">
        <v>417</v>
      </c>
      <c r="B418" s="1">
        <v>44942</v>
      </c>
      <c r="C418" t="s">
        <v>22</v>
      </c>
      <c r="D418" t="s">
        <v>11</v>
      </c>
      <c r="E418" s="2">
        <v>20</v>
      </c>
      <c r="F418">
        <v>3</v>
      </c>
      <c r="G418" s="2">
        <v>60</v>
      </c>
      <c r="H418" t="s">
        <v>16</v>
      </c>
      <c r="I418" t="s">
        <v>13</v>
      </c>
      <c r="J418" t="s">
        <v>21</v>
      </c>
    </row>
    <row r="419" spans="1:10" x14ac:dyDescent="0.35">
      <c r="A419">
        <v>418</v>
      </c>
      <c r="B419" s="1">
        <v>44877</v>
      </c>
      <c r="C419" t="s">
        <v>28</v>
      </c>
      <c r="D419" t="s">
        <v>19</v>
      </c>
      <c r="E419" s="2">
        <v>40</v>
      </c>
      <c r="F419">
        <v>7</v>
      </c>
      <c r="G419" s="2">
        <v>280</v>
      </c>
      <c r="H419" t="s">
        <v>20</v>
      </c>
      <c r="I419" t="s">
        <v>13</v>
      </c>
      <c r="J419" t="s">
        <v>14</v>
      </c>
    </row>
    <row r="420" spans="1:10" x14ac:dyDescent="0.35">
      <c r="A420">
        <v>419</v>
      </c>
      <c r="B420" s="1">
        <v>44842</v>
      </c>
      <c r="C420" t="s">
        <v>18</v>
      </c>
      <c r="D420" t="s">
        <v>19</v>
      </c>
      <c r="E420" s="2">
        <v>25</v>
      </c>
      <c r="F420">
        <v>14</v>
      </c>
      <c r="G420" s="2">
        <v>350</v>
      </c>
      <c r="H420" t="s">
        <v>12</v>
      </c>
      <c r="I420" t="s">
        <v>23</v>
      </c>
      <c r="J420" t="s">
        <v>27</v>
      </c>
    </row>
    <row r="421" spans="1:10" x14ac:dyDescent="0.35">
      <c r="A421">
        <v>420</v>
      </c>
      <c r="B421" s="1">
        <v>44956</v>
      </c>
      <c r="C421" t="s">
        <v>25</v>
      </c>
      <c r="D421" t="s">
        <v>11</v>
      </c>
      <c r="E421" s="2">
        <v>50</v>
      </c>
      <c r="F421">
        <v>13</v>
      </c>
      <c r="G421" s="2">
        <v>650</v>
      </c>
      <c r="H421" t="s">
        <v>20</v>
      </c>
      <c r="I421" t="s">
        <v>23</v>
      </c>
      <c r="J421" t="s">
        <v>21</v>
      </c>
    </row>
    <row r="422" spans="1:10" x14ac:dyDescent="0.35">
      <c r="A422">
        <v>421</v>
      </c>
      <c r="B422" s="1">
        <v>45009</v>
      </c>
      <c r="C422" t="s">
        <v>28</v>
      </c>
      <c r="D422" t="s">
        <v>19</v>
      </c>
      <c r="E422" s="2">
        <v>40</v>
      </c>
      <c r="F422">
        <v>2</v>
      </c>
      <c r="G422" s="2">
        <v>80</v>
      </c>
      <c r="H422" t="s">
        <v>20</v>
      </c>
      <c r="I422" t="s">
        <v>13</v>
      </c>
      <c r="J422" t="s">
        <v>27</v>
      </c>
    </row>
    <row r="423" spans="1:10" x14ac:dyDescent="0.35">
      <c r="A423">
        <v>422</v>
      </c>
      <c r="B423" s="1">
        <v>44775</v>
      </c>
      <c r="C423" t="s">
        <v>28</v>
      </c>
      <c r="D423" t="s">
        <v>19</v>
      </c>
      <c r="E423" s="2">
        <v>40</v>
      </c>
      <c r="F423">
        <v>7</v>
      </c>
      <c r="G423" s="2">
        <v>280</v>
      </c>
      <c r="H423" t="s">
        <v>20</v>
      </c>
      <c r="I423" t="s">
        <v>13</v>
      </c>
      <c r="J423" t="s">
        <v>21</v>
      </c>
    </row>
    <row r="424" spans="1:10" x14ac:dyDescent="0.35">
      <c r="A424">
        <v>423</v>
      </c>
      <c r="B424" s="1">
        <v>44855</v>
      </c>
      <c r="C424" t="s">
        <v>25</v>
      </c>
      <c r="D424" t="s">
        <v>11</v>
      </c>
      <c r="E424" s="2">
        <v>50</v>
      </c>
      <c r="F424">
        <v>7</v>
      </c>
      <c r="G424" s="2">
        <v>350</v>
      </c>
      <c r="H424" t="s">
        <v>16</v>
      </c>
      <c r="I424" t="s">
        <v>23</v>
      </c>
      <c r="J424" t="s">
        <v>14</v>
      </c>
    </row>
    <row r="425" spans="1:10" x14ac:dyDescent="0.35">
      <c r="A425">
        <v>424</v>
      </c>
      <c r="B425" s="1">
        <v>44672</v>
      </c>
      <c r="C425" t="s">
        <v>18</v>
      </c>
      <c r="D425" t="s">
        <v>19</v>
      </c>
      <c r="E425" s="2">
        <v>25</v>
      </c>
      <c r="F425">
        <v>9</v>
      </c>
      <c r="G425" s="2">
        <v>225</v>
      </c>
      <c r="H425" t="s">
        <v>20</v>
      </c>
      <c r="I425" t="s">
        <v>23</v>
      </c>
      <c r="J425" t="s">
        <v>27</v>
      </c>
    </row>
    <row r="426" spans="1:10" x14ac:dyDescent="0.35">
      <c r="A426">
        <v>425</v>
      </c>
      <c r="B426" s="1">
        <v>44790</v>
      </c>
      <c r="C426" t="s">
        <v>22</v>
      </c>
      <c r="D426" t="s">
        <v>11</v>
      </c>
      <c r="E426" s="2">
        <v>20</v>
      </c>
      <c r="F426">
        <v>14</v>
      </c>
      <c r="G426" s="2">
        <v>280</v>
      </c>
      <c r="H426" t="s">
        <v>20</v>
      </c>
      <c r="I426" t="s">
        <v>13</v>
      </c>
      <c r="J426" t="s">
        <v>17</v>
      </c>
    </row>
    <row r="427" spans="1:10" x14ac:dyDescent="0.35">
      <c r="A427">
        <v>426</v>
      </c>
      <c r="B427" s="1">
        <v>44946</v>
      </c>
      <c r="C427" t="s">
        <v>25</v>
      </c>
      <c r="D427" t="s">
        <v>11</v>
      </c>
      <c r="E427" s="2">
        <v>50</v>
      </c>
      <c r="F427">
        <v>14</v>
      </c>
      <c r="G427" s="2">
        <v>700</v>
      </c>
      <c r="H427" t="s">
        <v>16</v>
      </c>
      <c r="I427" t="s">
        <v>13</v>
      </c>
      <c r="J427" t="s">
        <v>27</v>
      </c>
    </row>
    <row r="428" spans="1:10" x14ac:dyDescent="0.35">
      <c r="A428">
        <v>427</v>
      </c>
      <c r="B428" s="1">
        <v>44702</v>
      </c>
      <c r="C428" t="s">
        <v>26</v>
      </c>
      <c r="D428" t="s">
        <v>11</v>
      </c>
      <c r="E428" s="2">
        <v>60</v>
      </c>
      <c r="F428">
        <v>2</v>
      </c>
      <c r="G428" s="2">
        <v>120</v>
      </c>
      <c r="H428" t="s">
        <v>20</v>
      </c>
      <c r="I428" t="s">
        <v>13</v>
      </c>
      <c r="J428" t="s">
        <v>17</v>
      </c>
    </row>
    <row r="429" spans="1:10" x14ac:dyDescent="0.35">
      <c r="A429">
        <v>428</v>
      </c>
      <c r="B429" s="1">
        <v>44919</v>
      </c>
      <c r="C429" t="s">
        <v>18</v>
      </c>
      <c r="D429" t="s">
        <v>19</v>
      </c>
      <c r="E429" s="2">
        <v>25</v>
      </c>
      <c r="F429">
        <v>8</v>
      </c>
      <c r="G429" s="2">
        <v>200</v>
      </c>
      <c r="H429" t="s">
        <v>20</v>
      </c>
      <c r="I429" t="s">
        <v>13</v>
      </c>
      <c r="J429" t="s">
        <v>17</v>
      </c>
    </row>
    <row r="430" spans="1:10" x14ac:dyDescent="0.35">
      <c r="A430">
        <v>429</v>
      </c>
      <c r="B430" s="1">
        <v>44823</v>
      </c>
      <c r="C430" t="s">
        <v>28</v>
      </c>
      <c r="D430" t="s">
        <v>19</v>
      </c>
      <c r="E430" s="2">
        <v>40</v>
      </c>
      <c r="F430">
        <v>3</v>
      </c>
      <c r="G430" s="2">
        <v>120</v>
      </c>
      <c r="H430" t="s">
        <v>20</v>
      </c>
      <c r="I430" t="s">
        <v>13</v>
      </c>
      <c r="J430" t="s">
        <v>14</v>
      </c>
    </row>
    <row r="431" spans="1:10" x14ac:dyDescent="0.35">
      <c r="A431">
        <v>430</v>
      </c>
      <c r="B431" s="1">
        <v>44870</v>
      </c>
      <c r="C431" t="s">
        <v>26</v>
      </c>
      <c r="D431" t="s">
        <v>11</v>
      </c>
      <c r="E431" s="2">
        <v>60</v>
      </c>
      <c r="F431">
        <v>4</v>
      </c>
      <c r="G431" s="2">
        <v>240</v>
      </c>
      <c r="H431" t="s">
        <v>20</v>
      </c>
      <c r="I431" t="s">
        <v>13</v>
      </c>
      <c r="J431" t="s">
        <v>14</v>
      </c>
    </row>
    <row r="432" spans="1:10" x14ac:dyDescent="0.35">
      <c r="A432">
        <v>431</v>
      </c>
      <c r="B432" s="1">
        <v>45001</v>
      </c>
      <c r="C432" t="s">
        <v>22</v>
      </c>
      <c r="D432" t="s">
        <v>11</v>
      </c>
      <c r="E432" s="2">
        <v>20</v>
      </c>
      <c r="F432">
        <v>6</v>
      </c>
      <c r="G432" s="2">
        <v>120</v>
      </c>
      <c r="H432" t="s">
        <v>20</v>
      </c>
      <c r="I432" t="s">
        <v>13</v>
      </c>
      <c r="J432" t="s">
        <v>21</v>
      </c>
    </row>
    <row r="433" spans="1:10" x14ac:dyDescent="0.35">
      <c r="A433">
        <v>432</v>
      </c>
      <c r="B433" s="1">
        <v>45012</v>
      </c>
      <c r="C433" t="s">
        <v>22</v>
      </c>
      <c r="D433" t="s">
        <v>11</v>
      </c>
      <c r="E433" s="2">
        <v>20</v>
      </c>
      <c r="F433">
        <v>6</v>
      </c>
      <c r="G433" s="2">
        <v>120</v>
      </c>
      <c r="H433" t="s">
        <v>20</v>
      </c>
      <c r="I433" t="s">
        <v>13</v>
      </c>
      <c r="J433" t="s">
        <v>17</v>
      </c>
    </row>
    <row r="434" spans="1:10" x14ac:dyDescent="0.35">
      <c r="A434">
        <v>433</v>
      </c>
      <c r="B434" s="1">
        <v>44708</v>
      </c>
      <c r="C434" t="s">
        <v>22</v>
      </c>
      <c r="D434" t="s">
        <v>11</v>
      </c>
      <c r="E434" s="2">
        <v>20</v>
      </c>
      <c r="F434">
        <v>14</v>
      </c>
      <c r="G434" s="2">
        <v>280</v>
      </c>
      <c r="H434" t="s">
        <v>20</v>
      </c>
      <c r="I434" t="s">
        <v>23</v>
      </c>
      <c r="J434" t="s">
        <v>21</v>
      </c>
    </row>
    <row r="435" spans="1:10" x14ac:dyDescent="0.35">
      <c r="A435">
        <v>434</v>
      </c>
      <c r="B435" s="1">
        <v>44794</v>
      </c>
      <c r="C435" t="s">
        <v>10</v>
      </c>
      <c r="D435" t="s">
        <v>11</v>
      </c>
      <c r="E435" s="2">
        <v>20</v>
      </c>
      <c r="F435">
        <v>12</v>
      </c>
      <c r="G435" s="2">
        <v>240</v>
      </c>
      <c r="H435" t="s">
        <v>16</v>
      </c>
      <c r="I435" t="s">
        <v>13</v>
      </c>
      <c r="J435" t="s">
        <v>24</v>
      </c>
    </row>
    <row r="436" spans="1:10" x14ac:dyDescent="0.35">
      <c r="A436">
        <v>435</v>
      </c>
      <c r="B436" s="1">
        <v>44689</v>
      </c>
      <c r="C436" t="s">
        <v>26</v>
      </c>
      <c r="D436" t="s">
        <v>11</v>
      </c>
      <c r="E436" s="2">
        <v>60</v>
      </c>
      <c r="F436">
        <v>1</v>
      </c>
      <c r="G436" s="2">
        <v>60</v>
      </c>
      <c r="H436" t="s">
        <v>16</v>
      </c>
      <c r="I436" t="s">
        <v>23</v>
      </c>
      <c r="J436" t="s">
        <v>17</v>
      </c>
    </row>
    <row r="437" spans="1:10" x14ac:dyDescent="0.35">
      <c r="A437">
        <v>436</v>
      </c>
      <c r="B437" s="1">
        <v>44931</v>
      </c>
      <c r="C437" t="s">
        <v>25</v>
      </c>
      <c r="D437" t="s">
        <v>11</v>
      </c>
      <c r="E437" s="2">
        <v>50</v>
      </c>
      <c r="F437">
        <v>10</v>
      </c>
      <c r="G437" s="2">
        <v>500</v>
      </c>
      <c r="H437" t="s">
        <v>16</v>
      </c>
      <c r="I437" t="s">
        <v>13</v>
      </c>
      <c r="J437" t="s">
        <v>27</v>
      </c>
    </row>
    <row r="438" spans="1:10" x14ac:dyDescent="0.35">
      <c r="A438">
        <v>437</v>
      </c>
      <c r="B438" s="1">
        <v>44804</v>
      </c>
      <c r="C438" t="s">
        <v>28</v>
      </c>
      <c r="D438" t="s">
        <v>19</v>
      </c>
      <c r="E438" s="2">
        <v>40</v>
      </c>
      <c r="F438">
        <v>1</v>
      </c>
      <c r="G438" s="2">
        <v>40</v>
      </c>
      <c r="H438" t="s">
        <v>12</v>
      </c>
      <c r="I438" t="s">
        <v>13</v>
      </c>
      <c r="J438" t="s">
        <v>24</v>
      </c>
    </row>
    <row r="439" spans="1:10" x14ac:dyDescent="0.35">
      <c r="A439">
        <v>438</v>
      </c>
      <c r="B439" s="1">
        <v>44732</v>
      </c>
      <c r="C439" t="s">
        <v>28</v>
      </c>
      <c r="D439" t="s">
        <v>19</v>
      </c>
      <c r="E439" s="2">
        <v>40</v>
      </c>
      <c r="F439">
        <v>5</v>
      </c>
      <c r="G439" s="2">
        <v>200</v>
      </c>
      <c r="H439" t="s">
        <v>20</v>
      </c>
      <c r="I439" t="s">
        <v>13</v>
      </c>
      <c r="J439" t="s">
        <v>24</v>
      </c>
    </row>
    <row r="440" spans="1:10" x14ac:dyDescent="0.35">
      <c r="A440">
        <v>439</v>
      </c>
      <c r="B440" s="1">
        <v>44834</v>
      </c>
      <c r="C440" t="s">
        <v>25</v>
      </c>
      <c r="D440" t="s">
        <v>11</v>
      </c>
      <c r="E440" s="2">
        <v>50</v>
      </c>
      <c r="F440">
        <v>13</v>
      </c>
      <c r="G440" s="2">
        <v>650</v>
      </c>
      <c r="H440" t="s">
        <v>20</v>
      </c>
      <c r="I440" t="s">
        <v>13</v>
      </c>
      <c r="J440" t="s">
        <v>17</v>
      </c>
    </row>
    <row r="441" spans="1:10" x14ac:dyDescent="0.35">
      <c r="A441">
        <v>440</v>
      </c>
      <c r="B441" s="1">
        <v>44893</v>
      </c>
      <c r="C441" t="s">
        <v>10</v>
      </c>
      <c r="D441" t="s">
        <v>11</v>
      </c>
      <c r="E441" s="2">
        <v>20</v>
      </c>
      <c r="F441">
        <v>7</v>
      </c>
      <c r="G441" s="2">
        <v>140</v>
      </c>
      <c r="H441" t="s">
        <v>16</v>
      </c>
      <c r="I441" t="s">
        <v>13</v>
      </c>
      <c r="J441" t="s">
        <v>17</v>
      </c>
    </row>
    <row r="442" spans="1:10" x14ac:dyDescent="0.35">
      <c r="A442">
        <v>441</v>
      </c>
      <c r="B442" s="1">
        <v>44867</v>
      </c>
      <c r="C442" t="s">
        <v>10</v>
      </c>
      <c r="D442" t="s">
        <v>11</v>
      </c>
      <c r="E442" s="2">
        <v>20</v>
      </c>
      <c r="F442">
        <v>1</v>
      </c>
      <c r="G442" s="2">
        <v>20</v>
      </c>
      <c r="H442" t="s">
        <v>20</v>
      </c>
      <c r="I442" t="s">
        <v>23</v>
      </c>
      <c r="J442" t="s">
        <v>27</v>
      </c>
    </row>
    <row r="443" spans="1:10" x14ac:dyDescent="0.35">
      <c r="A443">
        <v>442</v>
      </c>
      <c r="B443" s="1">
        <v>44795</v>
      </c>
      <c r="C443" t="s">
        <v>18</v>
      </c>
      <c r="D443" t="s">
        <v>19</v>
      </c>
      <c r="E443" s="2">
        <v>25</v>
      </c>
      <c r="F443">
        <v>7</v>
      </c>
      <c r="G443" s="2">
        <v>175</v>
      </c>
      <c r="H443" t="s">
        <v>20</v>
      </c>
      <c r="I443" t="s">
        <v>23</v>
      </c>
      <c r="J443" t="s">
        <v>14</v>
      </c>
    </row>
    <row r="444" spans="1:10" x14ac:dyDescent="0.35">
      <c r="A444">
        <v>443</v>
      </c>
      <c r="B444" s="1">
        <v>44809</v>
      </c>
      <c r="C444" t="s">
        <v>18</v>
      </c>
      <c r="D444" t="s">
        <v>19</v>
      </c>
      <c r="E444" s="2">
        <v>25</v>
      </c>
      <c r="F444">
        <v>12</v>
      </c>
      <c r="G444" s="2">
        <v>300</v>
      </c>
      <c r="H444" t="s">
        <v>16</v>
      </c>
      <c r="I444" t="s">
        <v>23</v>
      </c>
      <c r="J444" t="s">
        <v>14</v>
      </c>
    </row>
    <row r="445" spans="1:10" x14ac:dyDescent="0.35">
      <c r="A445">
        <v>444</v>
      </c>
      <c r="B445" s="1">
        <v>44832</v>
      </c>
      <c r="C445" t="s">
        <v>25</v>
      </c>
      <c r="D445" t="s">
        <v>11</v>
      </c>
      <c r="E445" s="2">
        <v>50</v>
      </c>
      <c r="F445">
        <v>4</v>
      </c>
      <c r="G445" s="2">
        <v>200</v>
      </c>
      <c r="H445" t="s">
        <v>12</v>
      </c>
      <c r="I445" t="s">
        <v>13</v>
      </c>
      <c r="J445" t="s">
        <v>21</v>
      </c>
    </row>
    <row r="446" spans="1:10" x14ac:dyDescent="0.35">
      <c r="A446">
        <v>445</v>
      </c>
      <c r="B446" s="1">
        <v>44856</v>
      </c>
      <c r="C446" t="s">
        <v>26</v>
      </c>
      <c r="D446" t="s">
        <v>11</v>
      </c>
      <c r="E446" s="2">
        <v>60</v>
      </c>
      <c r="F446">
        <v>14</v>
      </c>
      <c r="G446" s="2">
        <v>840</v>
      </c>
      <c r="H446" t="s">
        <v>20</v>
      </c>
      <c r="I446" t="s">
        <v>23</v>
      </c>
      <c r="J446" t="s">
        <v>24</v>
      </c>
    </row>
    <row r="447" spans="1:10" x14ac:dyDescent="0.35">
      <c r="A447">
        <v>446</v>
      </c>
      <c r="B447" s="1">
        <v>44804</v>
      </c>
      <c r="C447" t="s">
        <v>28</v>
      </c>
      <c r="D447" t="s">
        <v>19</v>
      </c>
      <c r="E447" s="2">
        <v>40</v>
      </c>
      <c r="F447">
        <v>9</v>
      </c>
      <c r="G447" s="2">
        <v>360</v>
      </c>
      <c r="H447" t="s">
        <v>16</v>
      </c>
      <c r="I447" t="s">
        <v>13</v>
      </c>
      <c r="J447" t="s">
        <v>14</v>
      </c>
    </row>
    <row r="448" spans="1:10" x14ac:dyDescent="0.35">
      <c r="A448">
        <v>447</v>
      </c>
      <c r="B448" s="1">
        <v>44943</v>
      </c>
      <c r="C448" t="s">
        <v>25</v>
      </c>
      <c r="D448" t="s">
        <v>11</v>
      </c>
      <c r="E448" s="2">
        <v>50</v>
      </c>
      <c r="F448">
        <v>6</v>
      </c>
      <c r="G448" s="2">
        <v>300</v>
      </c>
      <c r="H448" t="s">
        <v>20</v>
      </c>
      <c r="I448" t="s">
        <v>23</v>
      </c>
      <c r="J448" t="s">
        <v>17</v>
      </c>
    </row>
    <row r="449" spans="1:10" x14ac:dyDescent="0.35">
      <c r="A449">
        <v>448</v>
      </c>
      <c r="B449" s="1">
        <v>44769</v>
      </c>
      <c r="C449" t="s">
        <v>15</v>
      </c>
      <c r="D449" t="s">
        <v>11</v>
      </c>
      <c r="E449" s="2">
        <v>20</v>
      </c>
      <c r="F449">
        <v>6</v>
      </c>
      <c r="G449" s="2">
        <v>120</v>
      </c>
      <c r="H449" t="s">
        <v>16</v>
      </c>
      <c r="I449" t="s">
        <v>23</v>
      </c>
      <c r="J449" t="s">
        <v>21</v>
      </c>
    </row>
    <row r="450" spans="1:10" x14ac:dyDescent="0.35">
      <c r="A450">
        <v>449</v>
      </c>
      <c r="B450" s="1">
        <v>44813</v>
      </c>
      <c r="C450" t="s">
        <v>25</v>
      </c>
      <c r="D450" t="s">
        <v>11</v>
      </c>
      <c r="E450" s="2">
        <v>50</v>
      </c>
      <c r="F450">
        <v>4</v>
      </c>
      <c r="G450" s="2">
        <v>200</v>
      </c>
      <c r="H450" t="s">
        <v>16</v>
      </c>
      <c r="I450" t="s">
        <v>13</v>
      </c>
      <c r="J450" t="s">
        <v>17</v>
      </c>
    </row>
    <row r="451" spans="1:10" x14ac:dyDescent="0.35">
      <c r="A451">
        <v>450</v>
      </c>
      <c r="B451" s="1">
        <v>44701</v>
      </c>
      <c r="C451" t="s">
        <v>18</v>
      </c>
      <c r="D451" t="s">
        <v>19</v>
      </c>
      <c r="E451" s="2">
        <v>25</v>
      </c>
      <c r="F451">
        <v>1</v>
      </c>
      <c r="G451" s="2">
        <v>25</v>
      </c>
      <c r="H451" t="s">
        <v>20</v>
      </c>
      <c r="I451" t="s">
        <v>13</v>
      </c>
      <c r="J451" t="s">
        <v>24</v>
      </c>
    </row>
    <row r="452" spans="1:10" x14ac:dyDescent="0.35">
      <c r="A452">
        <v>451</v>
      </c>
      <c r="B452" s="1">
        <v>45000</v>
      </c>
      <c r="C452" t="s">
        <v>18</v>
      </c>
      <c r="D452" t="s">
        <v>19</v>
      </c>
      <c r="E452" s="2">
        <v>25</v>
      </c>
      <c r="F452">
        <v>10</v>
      </c>
      <c r="G452" s="2">
        <v>250</v>
      </c>
      <c r="H452" t="s">
        <v>16</v>
      </c>
      <c r="I452" t="s">
        <v>23</v>
      </c>
      <c r="J452" t="s">
        <v>27</v>
      </c>
    </row>
    <row r="453" spans="1:10" x14ac:dyDescent="0.35">
      <c r="A453">
        <v>452</v>
      </c>
      <c r="B453" s="1">
        <v>44920</v>
      </c>
      <c r="C453" t="s">
        <v>25</v>
      </c>
      <c r="D453" t="s">
        <v>11</v>
      </c>
      <c r="E453" s="2">
        <v>50</v>
      </c>
      <c r="F453">
        <v>5</v>
      </c>
      <c r="G453" s="2">
        <v>250</v>
      </c>
      <c r="H453" t="s">
        <v>20</v>
      </c>
      <c r="I453" t="s">
        <v>13</v>
      </c>
      <c r="J453" t="s">
        <v>17</v>
      </c>
    </row>
    <row r="454" spans="1:10" x14ac:dyDescent="0.35">
      <c r="A454">
        <v>453</v>
      </c>
      <c r="B454" s="1">
        <v>44854</v>
      </c>
      <c r="C454" t="s">
        <v>26</v>
      </c>
      <c r="D454" t="s">
        <v>11</v>
      </c>
      <c r="E454" s="2">
        <v>60</v>
      </c>
      <c r="F454">
        <v>1</v>
      </c>
      <c r="G454" s="2">
        <v>60</v>
      </c>
      <c r="H454" t="s">
        <v>20</v>
      </c>
      <c r="I454" t="s">
        <v>23</v>
      </c>
      <c r="J454" t="s">
        <v>27</v>
      </c>
    </row>
    <row r="455" spans="1:10" x14ac:dyDescent="0.35">
      <c r="A455">
        <v>454</v>
      </c>
      <c r="B455" s="1">
        <v>44992</v>
      </c>
      <c r="C455" t="s">
        <v>26</v>
      </c>
      <c r="D455" t="s">
        <v>11</v>
      </c>
      <c r="E455" s="2">
        <v>60</v>
      </c>
      <c r="F455">
        <v>1</v>
      </c>
      <c r="G455" s="2">
        <v>60</v>
      </c>
      <c r="H455" t="s">
        <v>20</v>
      </c>
      <c r="I455" t="s">
        <v>23</v>
      </c>
      <c r="J455" t="s">
        <v>21</v>
      </c>
    </row>
    <row r="456" spans="1:10" x14ac:dyDescent="0.35">
      <c r="A456">
        <v>455</v>
      </c>
      <c r="B456" s="1">
        <v>44986</v>
      </c>
      <c r="C456" t="s">
        <v>28</v>
      </c>
      <c r="D456" t="s">
        <v>19</v>
      </c>
      <c r="E456" s="2">
        <v>40</v>
      </c>
      <c r="F456">
        <v>11</v>
      </c>
      <c r="G456" s="2">
        <v>440</v>
      </c>
      <c r="H456" t="s">
        <v>16</v>
      </c>
      <c r="I456" t="s">
        <v>13</v>
      </c>
      <c r="J456" t="s">
        <v>27</v>
      </c>
    </row>
    <row r="457" spans="1:10" x14ac:dyDescent="0.35">
      <c r="A457">
        <v>456</v>
      </c>
      <c r="B457" s="1">
        <v>44926</v>
      </c>
      <c r="C457" t="s">
        <v>28</v>
      </c>
      <c r="D457" t="s">
        <v>19</v>
      </c>
      <c r="E457" s="2">
        <v>40</v>
      </c>
      <c r="F457">
        <v>13</v>
      </c>
      <c r="G457" s="2">
        <v>520</v>
      </c>
      <c r="H457" t="s">
        <v>12</v>
      </c>
      <c r="I457" t="s">
        <v>23</v>
      </c>
      <c r="J457" t="s">
        <v>14</v>
      </c>
    </row>
    <row r="458" spans="1:10" x14ac:dyDescent="0.35">
      <c r="A458">
        <v>457</v>
      </c>
      <c r="B458" s="1">
        <v>44850</v>
      </c>
      <c r="C458" t="s">
        <v>28</v>
      </c>
      <c r="D458" t="s">
        <v>19</v>
      </c>
      <c r="E458" s="2">
        <v>40</v>
      </c>
      <c r="F458">
        <v>11</v>
      </c>
      <c r="G458" s="2">
        <v>440</v>
      </c>
      <c r="H458" t="s">
        <v>16</v>
      </c>
      <c r="I458" t="s">
        <v>13</v>
      </c>
      <c r="J458" t="s">
        <v>21</v>
      </c>
    </row>
    <row r="459" spans="1:10" x14ac:dyDescent="0.35">
      <c r="A459">
        <v>458</v>
      </c>
      <c r="B459" s="1">
        <v>44816</v>
      </c>
      <c r="C459" t="s">
        <v>18</v>
      </c>
      <c r="D459" t="s">
        <v>19</v>
      </c>
      <c r="E459" s="2">
        <v>25</v>
      </c>
      <c r="F459">
        <v>8</v>
      </c>
      <c r="G459" s="2">
        <v>200</v>
      </c>
      <c r="H459" t="s">
        <v>16</v>
      </c>
      <c r="I459" t="s">
        <v>23</v>
      </c>
      <c r="J459" t="s">
        <v>27</v>
      </c>
    </row>
    <row r="460" spans="1:10" x14ac:dyDescent="0.35">
      <c r="A460">
        <v>459</v>
      </c>
      <c r="B460" s="1">
        <v>44720</v>
      </c>
      <c r="C460" t="s">
        <v>15</v>
      </c>
      <c r="D460" t="s">
        <v>11</v>
      </c>
      <c r="E460" s="2">
        <v>20</v>
      </c>
      <c r="F460">
        <v>14</v>
      </c>
      <c r="G460" s="2">
        <v>280</v>
      </c>
      <c r="H460" t="s">
        <v>16</v>
      </c>
      <c r="I460" t="s">
        <v>13</v>
      </c>
      <c r="J460" t="s">
        <v>14</v>
      </c>
    </row>
    <row r="461" spans="1:10" x14ac:dyDescent="0.35">
      <c r="A461">
        <v>460</v>
      </c>
      <c r="B461" s="1">
        <v>44885</v>
      </c>
      <c r="C461" t="s">
        <v>10</v>
      </c>
      <c r="D461" t="s">
        <v>11</v>
      </c>
      <c r="E461" s="2">
        <v>20</v>
      </c>
      <c r="F461">
        <v>2</v>
      </c>
      <c r="G461" s="2">
        <v>40</v>
      </c>
      <c r="H461" t="s">
        <v>16</v>
      </c>
      <c r="I461" t="s">
        <v>13</v>
      </c>
      <c r="J461" t="s">
        <v>24</v>
      </c>
    </row>
    <row r="462" spans="1:10" x14ac:dyDescent="0.35">
      <c r="A462">
        <v>461</v>
      </c>
      <c r="B462" s="1">
        <v>44764</v>
      </c>
      <c r="C462" t="s">
        <v>18</v>
      </c>
      <c r="D462" t="s">
        <v>19</v>
      </c>
      <c r="E462" s="2">
        <v>25</v>
      </c>
      <c r="F462">
        <v>5</v>
      </c>
      <c r="G462" s="2">
        <v>125</v>
      </c>
      <c r="H462" t="s">
        <v>16</v>
      </c>
      <c r="I462" t="s">
        <v>13</v>
      </c>
      <c r="J462" t="s">
        <v>27</v>
      </c>
    </row>
    <row r="463" spans="1:10" x14ac:dyDescent="0.35">
      <c r="A463">
        <v>462</v>
      </c>
      <c r="B463" s="1">
        <v>44675</v>
      </c>
      <c r="C463" t="s">
        <v>15</v>
      </c>
      <c r="D463" t="s">
        <v>11</v>
      </c>
      <c r="E463" s="2">
        <v>20</v>
      </c>
      <c r="F463">
        <v>3</v>
      </c>
      <c r="G463" s="2">
        <v>60</v>
      </c>
      <c r="H463" t="s">
        <v>16</v>
      </c>
      <c r="I463" t="s">
        <v>13</v>
      </c>
      <c r="J463" t="s">
        <v>24</v>
      </c>
    </row>
    <row r="464" spans="1:10" x14ac:dyDescent="0.35">
      <c r="A464">
        <v>463</v>
      </c>
      <c r="B464" s="1">
        <v>44723</v>
      </c>
      <c r="C464" t="s">
        <v>26</v>
      </c>
      <c r="D464" t="s">
        <v>11</v>
      </c>
      <c r="E464" s="2">
        <v>60</v>
      </c>
      <c r="F464">
        <v>6</v>
      </c>
      <c r="G464" s="2">
        <v>360</v>
      </c>
      <c r="H464" t="s">
        <v>20</v>
      </c>
      <c r="I464" t="s">
        <v>13</v>
      </c>
      <c r="J464" t="s">
        <v>27</v>
      </c>
    </row>
    <row r="465" spans="1:10" x14ac:dyDescent="0.35">
      <c r="A465">
        <v>464</v>
      </c>
      <c r="B465" s="1">
        <v>44852</v>
      </c>
      <c r="C465" t="s">
        <v>18</v>
      </c>
      <c r="D465" t="s">
        <v>19</v>
      </c>
      <c r="E465" s="2">
        <v>25</v>
      </c>
      <c r="F465">
        <v>13</v>
      </c>
      <c r="G465" s="2">
        <v>325</v>
      </c>
      <c r="H465" t="s">
        <v>16</v>
      </c>
      <c r="I465" t="s">
        <v>13</v>
      </c>
      <c r="J465" t="s">
        <v>24</v>
      </c>
    </row>
    <row r="466" spans="1:10" x14ac:dyDescent="0.35">
      <c r="A466">
        <v>465</v>
      </c>
      <c r="B466" s="1">
        <v>44941</v>
      </c>
      <c r="C466" t="s">
        <v>18</v>
      </c>
      <c r="D466" t="s">
        <v>19</v>
      </c>
      <c r="E466" s="2">
        <v>25</v>
      </c>
      <c r="F466">
        <v>12</v>
      </c>
      <c r="G466" s="2">
        <v>300</v>
      </c>
      <c r="H466" t="s">
        <v>20</v>
      </c>
      <c r="I466" t="s">
        <v>13</v>
      </c>
      <c r="J466" t="s">
        <v>21</v>
      </c>
    </row>
    <row r="467" spans="1:10" x14ac:dyDescent="0.35">
      <c r="A467">
        <v>466</v>
      </c>
      <c r="B467" s="1">
        <v>44937</v>
      </c>
      <c r="C467" t="s">
        <v>22</v>
      </c>
      <c r="D467" t="s">
        <v>11</v>
      </c>
      <c r="E467" s="2">
        <v>20</v>
      </c>
      <c r="F467">
        <v>6</v>
      </c>
      <c r="G467" s="2">
        <v>120</v>
      </c>
      <c r="H467" t="s">
        <v>16</v>
      </c>
      <c r="I467" t="s">
        <v>13</v>
      </c>
      <c r="J467" t="s">
        <v>21</v>
      </c>
    </row>
    <row r="468" spans="1:10" x14ac:dyDescent="0.35">
      <c r="A468">
        <v>467</v>
      </c>
      <c r="B468" s="1">
        <v>44851</v>
      </c>
      <c r="C468" t="s">
        <v>10</v>
      </c>
      <c r="D468" t="s">
        <v>11</v>
      </c>
      <c r="E468" s="2">
        <v>20</v>
      </c>
      <c r="F468">
        <v>11</v>
      </c>
      <c r="G468" s="2">
        <v>220</v>
      </c>
      <c r="H468" t="s">
        <v>20</v>
      </c>
      <c r="I468" t="s">
        <v>13</v>
      </c>
      <c r="J468" t="s">
        <v>24</v>
      </c>
    </row>
    <row r="469" spans="1:10" x14ac:dyDescent="0.35">
      <c r="A469">
        <v>468</v>
      </c>
      <c r="B469" s="1">
        <v>44812</v>
      </c>
      <c r="C469" t="s">
        <v>22</v>
      </c>
      <c r="D469" t="s">
        <v>11</v>
      </c>
      <c r="E469" s="2">
        <v>20</v>
      </c>
      <c r="F469">
        <v>2</v>
      </c>
      <c r="G469" s="2">
        <v>40</v>
      </c>
      <c r="H469" t="s">
        <v>16</v>
      </c>
      <c r="I469" t="s">
        <v>13</v>
      </c>
      <c r="J469" t="s">
        <v>21</v>
      </c>
    </row>
    <row r="470" spans="1:10" x14ac:dyDescent="0.35">
      <c r="A470">
        <v>469</v>
      </c>
      <c r="B470" s="1">
        <v>44696</v>
      </c>
      <c r="C470" t="s">
        <v>26</v>
      </c>
      <c r="D470" t="s">
        <v>11</v>
      </c>
      <c r="E470" s="2">
        <v>60</v>
      </c>
      <c r="F470">
        <v>7</v>
      </c>
      <c r="G470" s="2">
        <v>420</v>
      </c>
      <c r="H470" t="s">
        <v>20</v>
      </c>
      <c r="I470" t="s">
        <v>23</v>
      </c>
      <c r="J470" t="s">
        <v>24</v>
      </c>
    </row>
    <row r="471" spans="1:10" x14ac:dyDescent="0.35">
      <c r="A471">
        <v>470</v>
      </c>
      <c r="B471" s="1">
        <v>44833</v>
      </c>
      <c r="C471" t="s">
        <v>15</v>
      </c>
      <c r="D471" t="s">
        <v>11</v>
      </c>
      <c r="E471" s="2">
        <v>20</v>
      </c>
      <c r="F471">
        <v>8</v>
      </c>
      <c r="G471" s="2">
        <v>160</v>
      </c>
      <c r="H471" t="s">
        <v>16</v>
      </c>
      <c r="I471" t="s">
        <v>23</v>
      </c>
      <c r="J471" t="s">
        <v>24</v>
      </c>
    </row>
    <row r="472" spans="1:10" x14ac:dyDescent="0.35">
      <c r="A472">
        <v>471</v>
      </c>
      <c r="B472" s="1">
        <v>44970</v>
      </c>
      <c r="C472" t="s">
        <v>22</v>
      </c>
      <c r="D472" t="s">
        <v>11</v>
      </c>
      <c r="E472" s="2">
        <v>20</v>
      </c>
      <c r="F472">
        <v>7</v>
      </c>
      <c r="G472" s="2">
        <v>140</v>
      </c>
      <c r="H472" t="s">
        <v>16</v>
      </c>
      <c r="I472" t="s">
        <v>23</v>
      </c>
      <c r="J472" t="s">
        <v>17</v>
      </c>
    </row>
    <row r="473" spans="1:10" x14ac:dyDescent="0.35">
      <c r="A473">
        <v>472</v>
      </c>
      <c r="B473" s="1">
        <v>44937</v>
      </c>
      <c r="C473" t="s">
        <v>22</v>
      </c>
      <c r="D473" t="s">
        <v>11</v>
      </c>
      <c r="E473" s="2">
        <v>20</v>
      </c>
      <c r="F473">
        <v>10</v>
      </c>
      <c r="G473" s="2">
        <v>200</v>
      </c>
      <c r="H473" t="s">
        <v>12</v>
      </c>
      <c r="I473" t="s">
        <v>13</v>
      </c>
      <c r="J473" t="s">
        <v>27</v>
      </c>
    </row>
    <row r="474" spans="1:10" x14ac:dyDescent="0.35">
      <c r="A474">
        <v>473</v>
      </c>
      <c r="B474" s="1">
        <v>44808</v>
      </c>
      <c r="C474" t="s">
        <v>26</v>
      </c>
      <c r="D474" t="s">
        <v>11</v>
      </c>
      <c r="E474" s="2">
        <v>60</v>
      </c>
      <c r="F474">
        <v>5</v>
      </c>
      <c r="G474" s="2">
        <v>300</v>
      </c>
      <c r="H474" t="s">
        <v>16</v>
      </c>
      <c r="I474" t="s">
        <v>23</v>
      </c>
      <c r="J474" t="s">
        <v>21</v>
      </c>
    </row>
    <row r="475" spans="1:10" x14ac:dyDescent="0.35">
      <c r="A475">
        <v>474</v>
      </c>
      <c r="B475" s="1">
        <v>44801</v>
      </c>
      <c r="C475" t="s">
        <v>18</v>
      </c>
      <c r="D475" t="s">
        <v>19</v>
      </c>
      <c r="E475" s="2">
        <v>25</v>
      </c>
      <c r="F475">
        <v>15</v>
      </c>
      <c r="G475" s="2">
        <v>375</v>
      </c>
      <c r="H475" t="s">
        <v>16</v>
      </c>
      <c r="I475" t="s">
        <v>23</v>
      </c>
      <c r="J475" t="s">
        <v>14</v>
      </c>
    </row>
    <row r="476" spans="1:10" x14ac:dyDescent="0.35">
      <c r="A476">
        <v>475</v>
      </c>
      <c r="B476" s="1">
        <v>44981</v>
      </c>
      <c r="C476" t="s">
        <v>28</v>
      </c>
      <c r="D476" t="s">
        <v>19</v>
      </c>
      <c r="E476" s="2">
        <v>40</v>
      </c>
      <c r="F476">
        <v>6</v>
      </c>
      <c r="G476" s="2">
        <v>240</v>
      </c>
      <c r="H476" t="s">
        <v>16</v>
      </c>
      <c r="I476" t="s">
        <v>23</v>
      </c>
      <c r="J476" t="s">
        <v>14</v>
      </c>
    </row>
    <row r="477" spans="1:10" x14ac:dyDescent="0.35">
      <c r="A477">
        <v>476</v>
      </c>
      <c r="B477" s="1">
        <v>44959</v>
      </c>
      <c r="C477" t="s">
        <v>10</v>
      </c>
      <c r="D477" t="s">
        <v>11</v>
      </c>
      <c r="E477" s="2">
        <v>20</v>
      </c>
      <c r="F477">
        <v>10</v>
      </c>
      <c r="G477" s="2">
        <v>200</v>
      </c>
      <c r="H477" t="s">
        <v>16</v>
      </c>
      <c r="I477" t="s">
        <v>13</v>
      </c>
      <c r="J477" t="s">
        <v>24</v>
      </c>
    </row>
    <row r="478" spans="1:10" x14ac:dyDescent="0.35">
      <c r="A478">
        <v>477</v>
      </c>
      <c r="B478" s="1">
        <v>44970</v>
      </c>
      <c r="C478" t="s">
        <v>26</v>
      </c>
      <c r="D478" t="s">
        <v>11</v>
      </c>
      <c r="E478" s="2">
        <v>60</v>
      </c>
      <c r="F478">
        <v>15</v>
      </c>
      <c r="G478" s="2">
        <v>900</v>
      </c>
      <c r="H478" t="s">
        <v>16</v>
      </c>
      <c r="I478" t="s">
        <v>23</v>
      </c>
      <c r="J478" t="s">
        <v>27</v>
      </c>
    </row>
    <row r="479" spans="1:10" x14ac:dyDescent="0.35">
      <c r="A479">
        <v>478</v>
      </c>
      <c r="B479" s="1">
        <v>44922</v>
      </c>
      <c r="C479" t="s">
        <v>18</v>
      </c>
      <c r="D479" t="s">
        <v>19</v>
      </c>
      <c r="E479" s="2">
        <v>25</v>
      </c>
      <c r="F479">
        <v>9</v>
      </c>
      <c r="G479" s="2">
        <v>225</v>
      </c>
      <c r="H479" t="s">
        <v>16</v>
      </c>
      <c r="I479" t="s">
        <v>23</v>
      </c>
      <c r="J479" t="s">
        <v>17</v>
      </c>
    </row>
    <row r="480" spans="1:10" x14ac:dyDescent="0.35">
      <c r="A480">
        <v>479</v>
      </c>
      <c r="B480" s="1">
        <v>44970</v>
      </c>
      <c r="C480" t="s">
        <v>26</v>
      </c>
      <c r="D480" t="s">
        <v>11</v>
      </c>
      <c r="E480" s="2">
        <v>60</v>
      </c>
      <c r="F480">
        <v>11</v>
      </c>
      <c r="G480" s="2">
        <v>660</v>
      </c>
      <c r="H480" t="s">
        <v>16</v>
      </c>
      <c r="I480" t="s">
        <v>23</v>
      </c>
      <c r="J480" t="s">
        <v>17</v>
      </c>
    </row>
    <row r="481" spans="1:10" x14ac:dyDescent="0.35">
      <c r="A481">
        <v>480</v>
      </c>
      <c r="B481" s="1">
        <v>44836</v>
      </c>
      <c r="C481" t="s">
        <v>15</v>
      </c>
      <c r="D481" t="s">
        <v>11</v>
      </c>
      <c r="E481" s="2">
        <v>20</v>
      </c>
      <c r="F481">
        <v>12</v>
      </c>
      <c r="G481" s="2">
        <v>240</v>
      </c>
      <c r="H481" t="s">
        <v>16</v>
      </c>
      <c r="I481" t="s">
        <v>13</v>
      </c>
      <c r="J481" t="s">
        <v>21</v>
      </c>
    </row>
    <row r="482" spans="1:10" x14ac:dyDescent="0.35">
      <c r="A482">
        <v>481</v>
      </c>
      <c r="B482" s="1">
        <v>44863</v>
      </c>
      <c r="C482" t="s">
        <v>18</v>
      </c>
      <c r="D482" t="s">
        <v>19</v>
      </c>
      <c r="E482" s="2">
        <v>25</v>
      </c>
      <c r="F482">
        <v>4</v>
      </c>
      <c r="G482" s="2">
        <v>100</v>
      </c>
      <c r="H482" t="s">
        <v>16</v>
      </c>
      <c r="I482" t="s">
        <v>13</v>
      </c>
      <c r="J482" t="s">
        <v>21</v>
      </c>
    </row>
    <row r="483" spans="1:10" x14ac:dyDescent="0.35">
      <c r="A483">
        <v>482</v>
      </c>
      <c r="B483" s="1">
        <v>44957</v>
      </c>
      <c r="C483" t="s">
        <v>10</v>
      </c>
      <c r="D483" t="s">
        <v>11</v>
      </c>
      <c r="E483" s="2">
        <v>20</v>
      </c>
      <c r="F483">
        <v>1</v>
      </c>
      <c r="G483" s="2">
        <v>20</v>
      </c>
      <c r="H483" t="s">
        <v>20</v>
      </c>
      <c r="I483" t="s">
        <v>13</v>
      </c>
      <c r="J483" t="s">
        <v>17</v>
      </c>
    </row>
    <row r="484" spans="1:10" x14ac:dyDescent="0.35">
      <c r="A484">
        <v>483</v>
      </c>
      <c r="B484" s="1">
        <v>44678</v>
      </c>
      <c r="C484" t="s">
        <v>22</v>
      </c>
      <c r="D484" t="s">
        <v>11</v>
      </c>
      <c r="E484" s="2">
        <v>20</v>
      </c>
      <c r="F484">
        <v>9</v>
      </c>
      <c r="G484" s="2">
        <v>180</v>
      </c>
      <c r="H484" t="s">
        <v>16</v>
      </c>
      <c r="I484" t="s">
        <v>23</v>
      </c>
      <c r="J484" t="s">
        <v>24</v>
      </c>
    </row>
    <row r="485" spans="1:10" x14ac:dyDescent="0.35">
      <c r="A485">
        <v>484</v>
      </c>
      <c r="B485" s="1">
        <v>45006</v>
      </c>
      <c r="C485" t="s">
        <v>28</v>
      </c>
      <c r="D485" t="s">
        <v>19</v>
      </c>
      <c r="E485" s="2">
        <v>40</v>
      </c>
      <c r="F485">
        <v>5</v>
      </c>
      <c r="G485" s="2">
        <v>200</v>
      </c>
      <c r="H485" t="s">
        <v>16</v>
      </c>
      <c r="I485" t="s">
        <v>23</v>
      </c>
      <c r="J485" t="s">
        <v>17</v>
      </c>
    </row>
    <row r="486" spans="1:10" x14ac:dyDescent="0.35">
      <c r="A486">
        <v>485</v>
      </c>
      <c r="B486" s="1">
        <v>44983</v>
      </c>
      <c r="C486" t="s">
        <v>10</v>
      </c>
      <c r="D486" t="s">
        <v>11</v>
      </c>
      <c r="E486" s="2">
        <v>20</v>
      </c>
      <c r="F486">
        <v>6</v>
      </c>
      <c r="G486" s="2">
        <v>120</v>
      </c>
      <c r="H486" t="s">
        <v>16</v>
      </c>
      <c r="I486" t="s">
        <v>23</v>
      </c>
      <c r="J486" t="s">
        <v>27</v>
      </c>
    </row>
    <row r="487" spans="1:10" x14ac:dyDescent="0.35">
      <c r="A487">
        <v>486</v>
      </c>
      <c r="B487" s="1">
        <v>44971</v>
      </c>
      <c r="C487" t="s">
        <v>15</v>
      </c>
      <c r="D487" t="s">
        <v>11</v>
      </c>
      <c r="E487" s="2">
        <v>20</v>
      </c>
      <c r="F487">
        <v>6</v>
      </c>
      <c r="G487" s="2">
        <v>120</v>
      </c>
      <c r="H487" t="s">
        <v>16</v>
      </c>
      <c r="I487" t="s">
        <v>23</v>
      </c>
      <c r="J487" t="s">
        <v>27</v>
      </c>
    </row>
    <row r="488" spans="1:10" x14ac:dyDescent="0.35">
      <c r="A488">
        <v>487</v>
      </c>
      <c r="B488" s="1">
        <v>44708</v>
      </c>
      <c r="C488" t="s">
        <v>26</v>
      </c>
      <c r="D488" t="s">
        <v>11</v>
      </c>
      <c r="E488" s="2">
        <v>60</v>
      </c>
      <c r="F488">
        <v>9</v>
      </c>
      <c r="G488" s="2">
        <v>540</v>
      </c>
      <c r="H488" t="s">
        <v>16</v>
      </c>
      <c r="I488" t="s">
        <v>23</v>
      </c>
      <c r="J488" t="s">
        <v>27</v>
      </c>
    </row>
    <row r="489" spans="1:10" x14ac:dyDescent="0.35">
      <c r="A489">
        <v>488</v>
      </c>
      <c r="B489" s="1">
        <v>44825</v>
      </c>
      <c r="C489" t="s">
        <v>28</v>
      </c>
      <c r="D489" t="s">
        <v>19</v>
      </c>
      <c r="E489" s="2">
        <v>40</v>
      </c>
      <c r="F489">
        <v>10</v>
      </c>
      <c r="G489" s="2">
        <v>400</v>
      </c>
      <c r="H489" t="s">
        <v>16</v>
      </c>
      <c r="I489" t="s">
        <v>13</v>
      </c>
      <c r="J489" t="s">
        <v>27</v>
      </c>
    </row>
    <row r="490" spans="1:10" x14ac:dyDescent="0.35">
      <c r="A490">
        <v>489</v>
      </c>
      <c r="B490" s="1">
        <v>44960</v>
      </c>
      <c r="C490" t="s">
        <v>25</v>
      </c>
      <c r="D490" t="s">
        <v>11</v>
      </c>
      <c r="E490" s="2">
        <v>50</v>
      </c>
      <c r="F490">
        <v>13</v>
      </c>
      <c r="G490" s="2">
        <v>650</v>
      </c>
      <c r="H490" t="s">
        <v>20</v>
      </c>
      <c r="I490" t="s">
        <v>23</v>
      </c>
      <c r="J490" t="s">
        <v>21</v>
      </c>
    </row>
    <row r="491" spans="1:10" x14ac:dyDescent="0.35">
      <c r="A491">
        <v>490</v>
      </c>
      <c r="B491" s="1">
        <v>44921</v>
      </c>
      <c r="C491" t="s">
        <v>28</v>
      </c>
      <c r="D491" t="s">
        <v>19</v>
      </c>
      <c r="E491" s="2">
        <v>40</v>
      </c>
      <c r="F491">
        <v>8</v>
      </c>
      <c r="G491" s="2">
        <v>320</v>
      </c>
      <c r="H491" t="s">
        <v>16</v>
      </c>
      <c r="I491" t="s">
        <v>13</v>
      </c>
      <c r="J491" t="s">
        <v>24</v>
      </c>
    </row>
    <row r="492" spans="1:10" x14ac:dyDescent="0.35">
      <c r="A492">
        <v>491</v>
      </c>
      <c r="B492" s="1">
        <v>44712</v>
      </c>
      <c r="C492" t="s">
        <v>15</v>
      </c>
      <c r="D492" t="s">
        <v>11</v>
      </c>
      <c r="E492" s="2">
        <v>20</v>
      </c>
      <c r="F492">
        <v>2</v>
      </c>
      <c r="G492" s="2">
        <v>40</v>
      </c>
      <c r="H492" t="s">
        <v>20</v>
      </c>
      <c r="I492" t="s">
        <v>23</v>
      </c>
      <c r="J492" t="s">
        <v>27</v>
      </c>
    </row>
    <row r="493" spans="1:10" x14ac:dyDescent="0.35">
      <c r="A493">
        <v>492</v>
      </c>
      <c r="B493" s="1">
        <v>44753</v>
      </c>
      <c r="C493" t="s">
        <v>26</v>
      </c>
      <c r="D493" t="s">
        <v>11</v>
      </c>
      <c r="E493" s="2">
        <v>60</v>
      </c>
      <c r="F493">
        <v>15</v>
      </c>
      <c r="G493" s="2">
        <v>900</v>
      </c>
      <c r="H493" t="s">
        <v>16</v>
      </c>
      <c r="I493" t="s">
        <v>13</v>
      </c>
      <c r="J493" t="s">
        <v>17</v>
      </c>
    </row>
    <row r="494" spans="1:10" x14ac:dyDescent="0.35">
      <c r="A494">
        <v>493</v>
      </c>
      <c r="B494" s="1">
        <v>44836</v>
      </c>
      <c r="C494" t="s">
        <v>28</v>
      </c>
      <c r="D494" t="s">
        <v>19</v>
      </c>
      <c r="E494" s="2">
        <v>40</v>
      </c>
      <c r="F494">
        <v>2</v>
      </c>
      <c r="G494" s="2">
        <v>80</v>
      </c>
      <c r="H494" t="s">
        <v>20</v>
      </c>
      <c r="I494" t="s">
        <v>13</v>
      </c>
      <c r="J494" t="s">
        <v>24</v>
      </c>
    </row>
    <row r="495" spans="1:10" x14ac:dyDescent="0.35">
      <c r="A495">
        <v>494</v>
      </c>
      <c r="B495" s="1">
        <v>44940</v>
      </c>
      <c r="C495" t="s">
        <v>28</v>
      </c>
      <c r="D495" t="s">
        <v>19</v>
      </c>
      <c r="E495" s="2">
        <v>40</v>
      </c>
      <c r="F495">
        <v>10</v>
      </c>
      <c r="G495" s="2">
        <v>400</v>
      </c>
      <c r="H495" t="s">
        <v>16</v>
      </c>
      <c r="I495" t="s">
        <v>23</v>
      </c>
      <c r="J495" t="s">
        <v>14</v>
      </c>
    </row>
    <row r="496" spans="1:10" x14ac:dyDescent="0.35">
      <c r="A496">
        <v>495</v>
      </c>
      <c r="B496" s="1">
        <v>44854</v>
      </c>
      <c r="C496" t="s">
        <v>10</v>
      </c>
      <c r="D496" t="s">
        <v>11</v>
      </c>
      <c r="E496" s="2">
        <v>20</v>
      </c>
      <c r="F496">
        <v>13</v>
      </c>
      <c r="G496" s="2">
        <v>260</v>
      </c>
      <c r="H496" t="s">
        <v>20</v>
      </c>
      <c r="I496" t="s">
        <v>23</v>
      </c>
      <c r="J496" t="s">
        <v>27</v>
      </c>
    </row>
    <row r="497" spans="1:10" x14ac:dyDescent="0.35">
      <c r="A497">
        <v>496</v>
      </c>
      <c r="B497" s="1">
        <v>44872</v>
      </c>
      <c r="C497" t="s">
        <v>28</v>
      </c>
      <c r="D497" t="s">
        <v>19</v>
      </c>
      <c r="E497" s="2">
        <v>40</v>
      </c>
      <c r="F497">
        <v>10</v>
      </c>
      <c r="G497" s="2">
        <v>400</v>
      </c>
      <c r="H497" t="s">
        <v>20</v>
      </c>
      <c r="I497" t="s">
        <v>23</v>
      </c>
      <c r="J497" t="s">
        <v>14</v>
      </c>
    </row>
    <row r="498" spans="1:10" x14ac:dyDescent="0.35">
      <c r="A498">
        <v>497</v>
      </c>
      <c r="B498" s="1">
        <v>44951</v>
      </c>
      <c r="C498" t="s">
        <v>26</v>
      </c>
      <c r="D498" t="s">
        <v>11</v>
      </c>
      <c r="E498" s="2">
        <v>60</v>
      </c>
      <c r="F498">
        <v>7</v>
      </c>
      <c r="G498" s="2">
        <v>420</v>
      </c>
      <c r="H498" t="s">
        <v>16</v>
      </c>
      <c r="I498" t="s">
        <v>13</v>
      </c>
      <c r="J498" t="s">
        <v>27</v>
      </c>
    </row>
    <row r="499" spans="1:10" x14ac:dyDescent="0.35">
      <c r="A499">
        <v>498</v>
      </c>
      <c r="B499" s="1">
        <v>44728</v>
      </c>
      <c r="C499" t="s">
        <v>25</v>
      </c>
      <c r="D499" t="s">
        <v>11</v>
      </c>
      <c r="E499" s="2">
        <v>50</v>
      </c>
      <c r="F499">
        <v>1</v>
      </c>
      <c r="G499" s="2">
        <v>50</v>
      </c>
      <c r="H499" t="s">
        <v>16</v>
      </c>
      <c r="I499" t="s">
        <v>13</v>
      </c>
      <c r="J499" t="s">
        <v>27</v>
      </c>
    </row>
    <row r="500" spans="1:10" x14ac:dyDescent="0.35">
      <c r="A500">
        <v>499</v>
      </c>
      <c r="B500" s="1">
        <v>44769</v>
      </c>
      <c r="C500" t="s">
        <v>26</v>
      </c>
      <c r="D500" t="s">
        <v>11</v>
      </c>
      <c r="E500" s="2">
        <v>60</v>
      </c>
      <c r="F500">
        <v>8</v>
      </c>
      <c r="G500" s="2">
        <v>480</v>
      </c>
      <c r="H500" t="s">
        <v>20</v>
      </c>
      <c r="I500" t="s">
        <v>23</v>
      </c>
      <c r="J500" t="s">
        <v>21</v>
      </c>
    </row>
    <row r="501" spans="1:10" x14ac:dyDescent="0.35">
      <c r="A501">
        <v>500</v>
      </c>
      <c r="B501" s="1">
        <v>44659</v>
      </c>
      <c r="C501" t="s">
        <v>15</v>
      </c>
      <c r="D501" t="s">
        <v>11</v>
      </c>
      <c r="E501" s="2">
        <v>20</v>
      </c>
      <c r="F501">
        <v>4</v>
      </c>
      <c r="G501" s="2">
        <v>80</v>
      </c>
      <c r="H501" t="s">
        <v>20</v>
      </c>
      <c r="I501" t="s">
        <v>23</v>
      </c>
      <c r="J501" t="s">
        <v>27</v>
      </c>
    </row>
    <row r="502" spans="1:10" x14ac:dyDescent="0.35">
      <c r="A502">
        <v>501</v>
      </c>
      <c r="B502" s="1">
        <v>44782</v>
      </c>
      <c r="C502" t="s">
        <v>18</v>
      </c>
      <c r="D502" t="s">
        <v>19</v>
      </c>
      <c r="E502" s="2">
        <v>25</v>
      </c>
      <c r="F502">
        <v>14</v>
      </c>
      <c r="G502" s="2">
        <v>350</v>
      </c>
      <c r="H502" t="s">
        <v>20</v>
      </c>
      <c r="I502" t="s">
        <v>23</v>
      </c>
      <c r="J502" t="s">
        <v>17</v>
      </c>
    </row>
    <row r="503" spans="1:10" x14ac:dyDescent="0.35">
      <c r="A503">
        <v>502</v>
      </c>
      <c r="B503" s="1">
        <v>44930</v>
      </c>
      <c r="C503" t="s">
        <v>22</v>
      </c>
      <c r="D503" t="s">
        <v>11</v>
      </c>
      <c r="E503" s="2">
        <v>20</v>
      </c>
      <c r="F503">
        <v>13</v>
      </c>
      <c r="G503" s="2">
        <v>260</v>
      </c>
      <c r="H503" t="s">
        <v>20</v>
      </c>
      <c r="I503" t="s">
        <v>13</v>
      </c>
      <c r="J503" t="s">
        <v>14</v>
      </c>
    </row>
    <row r="504" spans="1:10" x14ac:dyDescent="0.35">
      <c r="A504">
        <v>503</v>
      </c>
      <c r="B504" s="1">
        <v>44869</v>
      </c>
      <c r="C504" t="s">
        <v>10</v>
      </c>
      <c r="D504" t="s">
        <v>11</v>
      </c>
      <c r="E504" s="2">
        <v>20</v>
      </c>
      <c r="F504">
        <v>13</v>
      </c>
      <c r="G504" s="2">
        <v>260</v>
      </c>
      <c r="H504" t="s">
        <v>16</v>
      </c>
      <c r="I504" t="s">
        <v>23</v>
      </c>
      <c r="J504" t="s">
        <v>24</v>
      </c>
    </row>
    <row r="505" spans="1:10" x14ac:dyDescent="0.35">
      <c r="A505">
        <v>504</v>
      </c>
      <c r="B505" s="1">
        <v>44904</v>
      </c>
      <c r="C505" t="s">
        <v>28</v>
      </c>
      <c r="D505" t="s">
        <v>19</v>
      </c>
      <c r="E505" s="2">
        <v>40</v>
      </c>
      <c r="F505">
        <v>8</v>
      </c>
      <c r="G505" s="2">
        <v>320</v>
      </c>
      <c r="H505" t="s">
        <v>16</v>
      </c>
      <c r="I505" t="s">
        <v>13</v>
      </c>
      <c r="J505" t="s">
        <v>21</v>
      </c>
    </row>
    <row r="506" spans="1:10" x14ac:dyDescent="0.35">
      <c r="A506">
        <v>505</v>
      </c>
      <c r="B506" s="1">
        <v>44969</v>
      </c>
      <c r="C506" t="s">
        <v>25</v>
      </c>
      <c r="D506" t="s">
        <v>11</v>
      </c>
      <c r="E506" s="2">
        <v>50</v>
      </c>
      <c r="F506">
        <v>4</v>
      </c>
      <c r="G506" s="2">
        <v>200</v>
      </c>
      <c r="H506" t="s">
        <v>16</v>
      </c>
      <c r="I506" t="s">
        <v>13</v>
      </c>
      <c r="J506" t="s">
        <v>14</v>
      </c>
    </row>
    <row r="507" spans="1:10" x14ac:dyDescent="0.35">
      <c r="A507">
        <v>506</v>
      </c>
      <c r="B507" s="1">
        <v>44921</v>
      </c>
      <c r="C507" t="s">
        <v>28</v>
      </c>
      <c r="D507" t="s">
        <v>19</v>
      </c>
      <c r="E507" s="2">
        <v>40</v>
      </c>
      <c r="F507">
        <v>12</v>
      </c>
      <c r="G507" s="2">
        <v>480</v>
      </c>
      <c r="H507" t="s">
        <v>16</v>
      </c>
      <c r="I507" t="s">
        <v>23</v>
      </c>
      <c r="J507" t="s">
        <v>27</v>
      </c>
    </row>
    <row r="508" spans="1:10" x14ac:dyDescent="0.35">
      <c r="A508">
        <v>507</v>
      </c>
      <c r="B508" s="1">
        <v>44909</v>
      </c>
      <c r="C508" t="s">
        <v>10</v>
      </c>
      <c r="D508" t="s">
        <v>11</v>
      </c>
      <c r="E508" s="2">
        <v>20</v>
      </c>
      <c r="F508">
        <v>14</v>
      </c>
      <c r="G508" s="2">
        <v>280</v>
      </c>
      <c r="H508" t="s">
        <v>20</v>
      </c>
      <c r="I508" t="s">
        <v>23</v>
      </c>
      <c r="J508" t="s">
        <v>24</v>
      </c>
    </row>
    <row r="509" spans="1:10" x14ac:dyDescent="0.35">
      <c r="A509">
        <v>508</v>
      </c>
      <c r="B509" s="1">
        <v>44905</v>
      </c>
      <c r="C509" t="s">
        <v>26</v>
      </c>
      <c r="D509" t="s">
        <v>11</v>
      </c>
      <c r="E509" s="2">
        <v>60</v>
      </c>
      <c r="F509">
        <v>1</v>
      </c>
      <c r="G509" s="2">
        <v>60</v>
      </c>
      <c r="H509" t="s">
        <v>16</v>
      </c>
      <c r="I509" t="s">
        <v>13</v>
      </c>
      <c r="J509" t="s">
        <v>14</v>
      </c>
    </row>
    <row r="510" spans="1:10" x14ac:dyDescent="0.35">
      <c r="A510">
        <v>509</v>
      </c>
      <c r="B510" s="1">
        <v>44860</v>
      </c>
      <c r="C510" t="s">
        <v>15</v>
      </c>
      <c r="D510" t="s">
        <v>11</v>
      </c>
      <c r="E510" s="2">
        <v>20</v>
      </c>
      <c r="F510">
        <v>11</v>
      </c>
      <c r="G510" s="2">
        <v>220</v>
      </c>
      <c r="H510" t="s">
        <v>20</v>
      </c>
      <c r="I510" t="s">
        <v>13</v>
      </c>
      <c r="J510" t="s">
        <v>21</v>
      </c>
    </row>
    <row r="511" spans="1:10" x14ac:dyDescent="0.35">
      <c r="A511">
        <v>510</v>
      </c>
      <c r="B511" s="1">
        <v>44655</v>
      </c>
      <c r="C511" t="s">
        <v>26</v>
      </c>
      <c r="D511" t="s">
        <v>11</v>
      </c>
      <c r="E511" s="2">
        <v>60</v>
      </c>
      <c r="F511">
        <v>14</v>
      </c>
      <c r="G511" s="2">
        <v>840</v>
      </c>
      <c r="H511" t="s">
        <v>20</v>
      </c>
      <c r="I511" t="s">
        <v>13</v>
      </c>
      <c r="J511" t="s">
        <v>17</v>
      </c>
    </row>
    <row r="512" spans="1:10" x14ac:dyDescent="0.35">
      <c r="A512">
        <v>511</v>
      </c>
      <c r="B512" s="1">
        <v>44775</v>
      </c>
      <c r="C512" t="s">
        <v>22</v>
      </c>
      <c r="D512" t="s">
        <v>11</v>
      </c>
      <c r="E512" s="2">
        <v>20</v>
      </c>
      <c r="F512">
        <v>4</v>
      </c>
      <c r="G512" s="2">
        <v>80</v>
      </c>
      <c r="H512" t="s">
        <v>16</v>
      </c>
      <c r="I512" t="s">
        <v>23</v>
      </c>
      <c r="J512" t="s">
        <v>14</v>
      </c>
    </row>
    <row r="513" spans="1:10" x14ac:dyDescent="0.35">
      <c r="A513">
        <v>512</v>
      </c>
      <c r="B513" s="1">
        <v>44937</v>
      </c>
      <c r="C513" t="s">
        <v>22</v>
      </c>
      <c r="D513" t="s">
        <v>11</v>
      </c>
      <c r="E513" s="2">
        <v>20</v>
      </c>
      <c r="F513">
        <v>3</v>
      </c>
      <c r="G513" s="2">
        <v>60</v>
      </c>
      <c r="H513" t="s">
        <v>16</v>
      </c>
      <c r="I513" t="s">
        <v>23</v>
      </c>
      <c r="J513" t="s">
        <v>17</v>
      </c>
    </row>
    <row r="514" spans="1:10" x14ac:dyDescent="0.35">
      <c r="A514">
        <v>513</v>
      </c>
      <c r="B514" s="1">
        <v>44758</v>
      </c>
      <c r="C514" t="s">
        <v>28</v>
      </c>
      <c r="D514" t="s">
        <v>19</v>
      </c>
      <c r="E514" s="2">
        <v>40</v>
      </c>
      <c r="F514">
        <v>5</v>
      </c>
      <c r="G514" s="2">
        <v>200</v>
      </c>
      <c r="H514" t="s">
        <v>16</v>
      </c>
      <c r="I514" t="s">
        <v>23</v>
      </c>
      <c r="J514" t="s">
        <v>14</v>
      </c>
    </row>
    <row r="515" spans="1:10" x14ac:dyDescent="0.35">
      <c r="A515">
        <v>514</v>
      </c>
      <c r="B515" s="1">
        <v>44797</v>
      </c>
      <c r="C515" t="s">
        <v>28</v>
      </c>
      <c r="D515" t="s">
        <v>19</v>
      </c>
      <c r="E515" s="2">
        <v>40</v>
      </c>
      <c r="F515">
        <v>8</v>
      </c>
      <c r="G515" s="2">
        <v>320</v>
      </c>
      <c r="H515" t="s">
        <v>20</v>
      </c>
      <c r="I515" t="s">
        <v>23</v>
      </c>
      <c r="J515" t="s">
        <v>21</v>
      </c>
    </row>
    <row r="516" spans="1:10" x14ac:dyDescent="0.35">
      <c r="A516">
        <v>515</v>
      </c>
      <c r="B516" s="1">
        <v>44867</v>
      </c>
      <c r="C516" t="s">
        <v>26</v>
      </c>
      <c r="D516" t="s">
        <v>11</v>
      </c>
      <c r="E516" s="2">
        <v>60</v>
      </c>
      <c r="F516">
        <v>7</v>
      </c>
      <c r="G516" s="2">
        <v>420</v>
      </c>
      <c r="H516" t="s">
        <v>12</v>
      </c>
      <c r="I516" t="s">
        <v>23</v>
      </c>
      <c r="J516" t="s">
        <v>14</v>
      </c>
    </row>
    <row r="517" spans="1:10" x14ac:dyDescent="0.35">
      <c r="A517">
        <v>516</v>
      </c>
      <c r="B517" s="1">
        <v>44826</v>
      </c>
      <c r="C517" t="s">
        <v>18</v>
      </c>
      <c r="D517" t="s">
        <v>19</v>
      </c>
      <c r="E517" s="2">
        <v>25</v>
      </c>
      <c r="F517">
        <v>12</v>
      </c>
      <c r="G517" s="2">
        <v>300</v>
      </c>
      <c r="H517" t="s">
        <v>20</v>
      </c>
      <c r="I517" t="s">
        <v>23</v>
      </c>
      <c r="J517" t="s">
        <v>27</v>
      </c>
    </row>
    <row r="518" spans="1:10" x14ac:dyDescent="0.35">
      <c r="A518">
        <v>517</v>
      </c>
      <c r="B518" s="1">
        <v>44744</v>
      </c>
      <c r="C518" t="s">
        <v>22</v>
      </c>
      <c r="D518" t="s">
        <v>11</v>
      </c>
      <c r="E518" s="2">
        <v>20</v>
      </c>
      <c r="F518">
        <v>13</v>
      </c>
      <c r="G518" s="2">
        <v>260</v>
      </c>
      <c r="H518" t="s">
        <v>20</v>
      </c>
      <c r="I518" t="s">
        <v>13</v>
      </c>
      <c r="J518" t="s">
        <v>21</v>
      </c>
    </row>
    <row r="519" spans="1:10" x14ac:dyDescent="0.35">
      <c r="A519">
        <v>518</v>
      </c>
      <c r="B519" s="1">
        <v>44904</v>
      </c>
      <c r="C519" t="s">
        <v>10</v>
      </c>
      <c r="D519" t="s">
        <v>11</v>
      </c>
      <c r="E519" s="2">
        <v>20</v>
      </c>
      <c r="F519">
        <v>6</v>
      </c>
      <c r="G519" s="2">
        <v>120</v>
      </c>
      <c r="H519" t="s">
        <v>16</v>
      </c>
      <c r="I519" t="s">
        <v>23</v>
      </c>
      <c r="J519" t="s">
        <v>24</v>
      </c>
    </row>
    <row r="520" spans="1:10" x14ac:dyDescent="0.35">
      <c r="A520">
        <v>519</v>
      </c>
      <c r="B520" s="1">
        <v>44890</v>
      </c>
      <c r="C520" t="s">
        <v>28</v>
      </c>
      <c r="D520" t="s">
        <v>19</v>
      </c>
      <c r="E520" s="2">
        <v>40</v>
      </c>
      <c r="F520">
        <v>10</v>
      </c>
      <c r="G520" s="2">
        <v>400</v>
      </c>
      <c r="H520" t="s">
        <v>16</v>
      </c>
      <c r="I520" t="s">
        <v>13</v>
      </c>
      <c r="J520" t="s">
        <v>24</v>
      </c>
    </row>
    <row r="521" spans="1:10" x14ac:dyDescent="0.35">
      <c r="A521">
        <v>520</v>
      </c>
      <c r="B521" s="1">
        <v>44654</v>
      </c>
      <c r="C521" t="s">
        <v>22</v>
      </c>
      <c r="D521" t="s">
        <v>11</v>
      </c>
      <c r="E521" s="2">
        <v>20</v>
      </c>
      <c r="F521">
        <v>11</v>
      </c>
      <c r="G521" s="2">
        <v>220</v>
      </c>
      <c r="H521" t="s">
        <v>20</v>
      </c>
      <c r="I521" t="s">
        <v>23</v>
      </c>
      <c r="J521" t="s">
        <v>14</v>
      </c>
    </row>
    <row r="522" spans="1:10" x14ac:dyDescent="0.35">
      <c r="A522">
        <v>521</v>
      </c>
      <c r="B522" s="1">
        <v>44953</v>
      </c>
      <c r="C522" t="s">
        <v>22</v>
      </c>
      <c r="D522" t="s">
        <v>11</v>
      </c>
      <c r="E522" s="2">
        <v>20</v>
      </c>
      <c r="F522">
        <v>14</v>
      </c>
      <c r="G522" s="2">
        <v>280</v>
      </c>
      <c r="H522" t="s">
        <v>20</v>
      </c>
      <c r="I522" t="s">
        <v>13</v>
      </c>
      <c r="J522" t="s">
        <v>24</v>
      </c>
    </row>
    <row r="523" spans="1:10" x14ac:dyDescent="0.35">
      <c r="A523">
        <v>522</v>
      </c>
      <c r="B523" s="1">
        <v>44924</v>
      </c>
      <c r="C523" t="s">
        <v>22</v>
      </c>
      <c r="D523" t="s">
        <v>11</v>
      </c>
      <c r="E523" s="2">
        <v>20</v>
      </c>
      <c r="F523">
        <v>13</v>
      </c>
      <c r="G523" s="2">
        <v>260</v>
      </c>
      <c r="H523" t="s">
        <v>16</v>
      </c>
      <c r="I523" t="s">
        <v>23</v>
      </c>
      <c r="J523" t="s">
        <v>27</v>
      </c>
    </row>
    <row r="524" spans="1:10" x14ac:dyDescent="0.35">
      <c r="A524">
        <v>523</v>
      </c>
      <c r="B524" s="1">
        <v>44868</v>
      </c>
      <c r="C524" t="s">
        <v>25</v>
      </c>
      <c r="D524" t="s">
        <v>11</v>
      </c>
      <c r="E524" s="2">
        <v>50</v>
      </c>
      <c r="F524">
        <v>6</v>
      </c>
      <c r="G524" s="2">
        <v>300</v>
      </c>
      <c r="H524" t="s">
        <v>16</v>
      </c>
      <c r="I524" t="s">
        <v>13</v>
      </c>
      <c r="J524" t="s">
        <v>17</v>
      </c>
    </row>
    <row r="525" spans="1:10" x14ac:dyDescent="0.35">
      <c r="A525">
        <v>524</v>
      </c>
      <c r="B525" s="1">
        <v>44682</v>
      </c>
      <c r="C525" t="s">
        <v>10</v>
      </c>
      <c r="D525" t="s">
        <v>11</v>
      </c>
      <c r="E525" s="2">
        <v>20</v>
      </c>
      <c r="F525">
        <v>13</v>
      </c>
      <c r="G525" s="2">
        <v>260</v>
      </c>
      <c r="H525" t="s">
        <v>20</v>
      </c>
      <c r="I525" t="s">
        <v>13</v>
      </c>
      <c r="J525" t="s">
        <v>17</v>
      </c>
    </row>
    <row r="526" spans="1:10" x14ac:dyDescent="0.35">
      <c r="A526">
        <v>525</v>
      </c>
      <c r="B526" s="1">
        <v>44685</v>
      </c>
      <c r="C526" t="s">
        <v>15</v>
      </c>
      <c r="D526" t="s">
        <v>11</v>
      </c>
      <c r="E526" s="2">
        <v>20</v>
      </c>
      <c r="F526">
        <v>3</v>
      </c>
      <c r="G526" s="2">
        <v>60</v>
      </c>
      <c r="H526" t="s">
        <v>16</v>
      </c>
      <c r="I526" t="s">
        <v>13</v>
      </c>
      <c r="J526" t="s">
        <v>27</v>
      </c>
    </row>
    <row r="527" spans="1:10" x14ac:dyDescent="0.35">
      <c r="A527">
        <v>526</v>
      </c>
      <c r="B527" s="1">
        <v>44746</v>
      </c>
      <c r="C527" t="s">
        <v>26</v>
      </c>
      <c r="D527" t="s">
        <v>11</v>
      </c>
      <c r="E527" s="2">
        <v>60</v>
      </c>
      <c r="F527">
        <v>10</v>
      </c>
      <c r="G527" s="2">
        <v>600</v>
      </c>
      <c r="H527" t="s">
        <v>16</v>
      </c>
      <c r="I527" t="s">
        <v>23</v>
      </c>
      <c r="J527" t="s">
        <v>21</v>
      </c>
    </row>
    <row r="528" spans="1:10" x14ac:dyDescent="0.35">
      <c r="A528">
        <v>527</v>
      </c>
      <c r="B528" s="1">
        <v>44932</v>
      </c>
      <c r="C528" t="s">
        <v>18</v>
      </c>
      <c r="D528" t="s">
        <v>19</v>
      </c>
      <c r="E528" s="2">
        <v>25</v>
      </c>
      <c r="F528">
        <v>6</v>
      </c>
      <c r="G528" s="2">
        <v>150</v>
      </c>
      <c r="H528" t="s">
        <v>16</v>
      </c>
      <c r="I528" t="s">
        <v>23</v>
      </c>
      <c r="J528" t="s">
        <v>17</v>
      </c>
    </row>
    <row r="529" spans="1:10" x14ac:dyDescent="0.35">
      <c r="A529">
        <v>528</v>
      </c>
      <c r="B529" s="1">
        <v>44743</v>
      </c>
      <c r="C529" t="s">
        <v>18</v>
      </c>
      <c r="D529" t="s">
        <v>19</v>
      </c>
      <c r="E529" s="2">
        <v>25</v>
      </c>
      <c r="F529">
        <v>7</v>
      </c>
      <c r="G529" s="2">
        <v>175</v>
      </c>
      <c r="H529" t="s">
        <v>16</v>
      </c>
      <c r="I529" t="s">
        <v>23</v>
      </c>
      <c r="J529" t="s">
        <v>27</v>
      </c>
    </row>
    <row r="530" spans="1:10" x14ac:dyDescent="0.35">
      <c r="A530">
        <v>529</v>
      </c>
      <c r="B530" s="1">
        <v>44696</v>
      </c>
      <c r="C530" t="s">
        <v>10</v>
      </c>
      <c r="D530" t="s">
        <v>11</v>
      </c>
      <c r="E530" s="2">
        <v>20</v>
      </c>
      <c r="F530">
        <v>12</v>
      </c>
      <c r="G530" s="2">
        <v>240</v>
      </c>
      <c r="H530" t="s">
        <v>12</v>
      </c>
      <c r="I530" t="s">
        <v>23</v>
      </c>
      <c r="J530" t="s">
        <v>17</v>
      </c>
    </row>
    <row r="531" spans="1:10" x14ac:dyDescent="0.35">
      <c r="A531">
        <v>530</v>
      </c>
      <c r="B531" s="1">
        <v>44769</v>
      </c>
      <c r="C531" t="s">
        <v>22</v>
      </c>
      <c r="D531" t="s">
        <v>11</v>
      </c>
      <c r="E531" s="2">
        <v>20</v>
      </c>
      <c r="F531">
        <v>6</v>
      </c>
      <c r="G531" s="2">
        <v>120</v>
      </c>
      <c r="H531" t="s">
        <v>16</v>
      </c>
      <c r="I531" t="s">
        <v>23</v>
      </c>
      <c r="J531" t="s">
        <v>14</v>
      </c>
    </row>
    <row r="532" spans="1:10" x14ac:dyDescent="0.35">
      <c r="A532">
        <v>531</v>
      </c>
      <c r="B532" s="1">
        <v>44838</v>
      </c>
      <c r="C532" t="s">
        <v>28</v>
      </c>
      <c r="D532" t="s">
        <v>19</v>
      </c>
      <c r="E532" s="2">
        <v>40</v>
      </c>
      <c r="F532">
        <v>10</v>
      </c>
      <c r="G532" s="2">
        <v>400</v>
      </c>
      <c r="H532" t="s">
        <v>16</v>
      </c>
      <c r="I532" t="s">
        <v>13</v>
      </c>
      <c r="J532" t="s">
        <v>14</v>
      </c>
    </row>
    <row r="533" spans="1:10" x14ac:dyDescent="0.35">
      <c r="A533">
        <v>532</v>
      </c>
      <c r="B533" s="1">
        <v>45012</v>
      </c>
      <c r="C533" t="s">
        <v>22</v>
      </c>
      <c r="D533" t="s">
        <v>11</v>
      </c>
      <c r="E533" s="2">
        <v>20</v>
      </c>
      <c r="F533">
        <v>13</v>
      </c>
      <c r="G533" s="2">
        <v>260</v>
      </c>
      <c r="H533" t="s">
        <v>20</v>
      </c>
      <c r="I533" t="s">
        <v>23</v>
      </c>
      <c r="J533" t="s">
        <v>27</v>
      </c>
    </row>
    <row r="534" spans="1:10" x14ac:dyDescent="0.35">
      <c r="A534">
        <v>533</v>
      </c>
      <c r="B534" s="1">
        <v>44962</v>
      </c>
      <c r="C534" t="s">
        <v>25</v>
      </c>
      <c r="D534" t="s">
        <v>11</v>
      </c>
      <c r="E534" s="2">
        <v>50</v>
      </c>
      <c r="F534">
        <v>2</v>
      </c>
      <c r="G534" s="2">
        <v>100</v>
      </c>
      <c r="H534" t="s">
        <v>12</v>
      </c>
      <c r="I534" t="s">
        <v>23</v>
      </c>
      <c r="J534" t="s">
        <v>14</v>
      </c>
    </row>
    <row r="535" spans="1:10" x14ac:dyDescent="0.35">
      <c r="A535">
        <v>534</v>
      </c>
      <c r="B535" s="1">
        <v>44697</v>
      </c>
      <c r="C535" t="s">
        <v>15</v>
      </c>
      <c r="D535" t="s">
        <v>11</v>
      </c>
      <c r="E535" s="2">
        <v>20</v>
      </c>
      <c r="F535">
        <v>2</v>
      </c>
      <c r="G535" s="2">
        <v>40</v>
      </c>
      <c r="H535" t="s">
        <v>20</v>
      </c>
      <c r="I535" t="s">
        <v>23</v>
      </c>
      <c r="J535" t="s">
        <v>14</v>
      </c>
    </row>
    <row r="536" spans="1:10" x14ac:dyDescent="0.35">
      <c r="A536">
        <v>535</v>
      </c>
      <c r="B536" s="1">
        <v>44809</v>
      </c>
      <c r="C536" t="s">
        <v>26</v>
      </c>
      <c r="D536" t="s">
        <v>11</v>
      </c>
      <c r="E536" s="2">
        <v>60</v>
      </c>
      <c r="F536">
        <v>4</v>
      </c>
      <c r="G536" s="2">
        <v>240</v>
      </c>
      <c r="H536" t="s">
        <v>20</v>
      </c>
      <c r="I536" t="s">
        <v>13</v>
      </c>
      <c r="J536" t="s">
        <v>27</v>
      </c>
    </row>
    <row r="537" spans="1:10" x14ac:dyDescent="0.35">
      <c r="A537">
        <v>536</v>
      </c>
      <c r="B537" s="1">
        <v>44986</v>
      </c>
      <c r="C537" t="s">
        <v>18</v>
      </c>
      <c r="D537" t="s">
        <v>19</v>
      </c>
      <c r="E537" s="2">
        <v>25</v>
      </c>
      <c r="F537">
        <v>7</v>
      </c>
      <c r="G537" s="2">
        <v>175</v>
      </c>
      <c r="H537" t="s">
        <v>16</v>
      </c>
      <c r="I537" t="s">
        <v>23</v>
      </c>
      <c r="J537" t="s">
        <v>21</v>
      </c>
    </row>
    <row r="538" spans="1:10" x14ac:dyDescent="0.35">
      <c r="A538">
        <v>537</v>
      </c>
      <c r="B538" s="1">
        <v>44951</v>
      </c>
      <c r="C538" t="s">
        <v>22</v>
      </c>
      <c r="D538" t="s">
        <v>11</v>
      </c>
      <c r="E538" s="2">
        <v>20</v>
      </c>
      <c r="F538">
        <v>3</v>
      </c>
      <c r="G538" s="2">
        <v>60</v>
      </c>
      <c r="H538" t="s">
        <v>16</v>
      </c>
      <c r="I538" t="s">
        <v>13</v>
      </c>
      <c r="J538" t="s">
        <v>21</v>
      </c>
    </row>
    <row r="539" spans="1:10" x14ac:dyDescent="0.35">
      <c r="A539">
        <v>538</v>
      </c>
      <c r="B539" s="1">
        <v>44717</v>
      </c>
      <c r="C539" t="s">
        <v>22</v>
      </c>
      <c r="D539" t="s">
        <v>11</v>
      </c>
      <c r="E539" s="2">
        <v>20</v>
      </c>
      <c r="F539">
        <v>7</v>
      </c>
      <c r="G539" s="2">
        <v>140</v>
      </c>
      <c r="H539" t="s">
        <v>20</v>
      </c>
      <c r="I539" t="s">
        <v>13</v>
      </c>
      <c r="J539" t="s">
        <v>24</v>
      </c>
    </row>
    <row r="540" spans="1:10" x14ac:dyDescent="0.35">
      <c r="A540">
        <v>539</v>
      </c>
      <c r="B540" s="1">
        <v>44811</v>
      </c>
      <c r="C540" t="s">
        <v>22</v>
      </c>
      <c r="D540" t="s">
        <v>11</v>
      </c>
      <c r="E540" s="2">
        <v>20</v>
      </c>
      <c r="F540">
        <v>3</v>
      </c>
      <c r="G540" s="2">
        <v>60</v>
      </c>
      <c r="H540" t="s">
        <v>20</v>
      </c>
      <c r="I540" t="s">
        <v>13</v>
      </c>
      <c r="J540" t="s">
        <v>21</v>
      </c>
    </row>
    <row r="541" spans="1:10" x14ac:dyDescent="0.35">
      <c r="A541">
        <v>540</v>
      </c>
      <c r="B541" s="1">
        <v>44708</v>
      </c>
      <c r="C541" t="s">
        <v>15</v>
      </c>
      <c r="D541" t="s">
        <v>11</v>
      </c>
      <c r="E541" s="2">
        <v>20</v>
      </c>
      <c r="F541">
        <v>13</v>
      </c>
      <c r="G541" s="2">
        <v>260</v>
      </c>
      <c r="H541" t="s">
        <v>16</v>
      </c>
      <c r="I541" t="s">
        <v>13</v>
      </c>
      <c r="J541" t="s">
        <v>17</v>
      </c>
    </row>
    <row r="542" spans="1:10" x14ac:dyDescent="0.35">
      <c r="A542">
        <v>541</v>
      </c>
      <c r="B542" s="1">
        <v>44772</v>
      </c>
      <c r="C542" t="s">
        <v>22</v>
      </c>
      <c r="D542" t="s">
        <v>11</v>
      </c>
      <c r="E542" s="2">
        <v>20</v>
      </c>
      <c r="F542">
        <v>12</v>
      </c>
      <c r="G542" s="2">
        <v>240</v>
      </c>
      <c r="H542" t="s">
        <v>16</v>
      </c>
      <c r="I542" t="s">
        <v>13</v>
      </c>
      <c r="J542" t="s">
        <v>14</v>
      </c>
    </row>
    <row r="543" spans="1:10" x14ac:dyDescent="0.35">
      <c r="A543">
        <v>542</v>
      </c>
      <c r="B543" s="1">
        <v>44777</v>
      </c>
      <c r="C543" t="s">
        <v>18</v>
      </c>
      <c r="D543" t="s">
        <v>19</v>
      </c>
      <c r="E543" s="2">
        <v>25</v>
      </c>
      <c r="F543">
        <v>9</v>
      </c>
      <c r="G543" s="2">
        <v>225</v>
      </c>
      <c r="H543" t="s">
        <v>16</v>
      </c>
      <c r="I543" t="s">
        <v>13</v>
      </c>
      <c r="J543" t="s">
        <v>21</v>
      </c>
    </row>
    <row r="544" spans="1:10" x14ac:dyDescent="0.35">
      <c r="A544">
        <v>543</v>
      </c>
      <c r="B544" s="1">
        <v>44661</v>
      </c>
      <c r="C544" t="s">
        <v>10</v>
      </c>
      <c r="D544" t="s">
        <v>11</v>
      </c>
      <c r="E544" s="2">
        <v>20</v>
      </c>
      <c r="F544">
        <v>15</v>
      </c>
      <c r="G544" s="2">
        <v>300</v>
      </c>
      <c r="H544" t="s">
        <v>16</v>
      </c>
      <c r="I544" t="s">
        <v>23</v>
      </c>
      <c r="J544" t="s">
        <v>21</v>
      </c>
    </row>
    <row r="545" spans="1:10" x14ac:dyDescent="0.35">
      <c r="A545">
        <v>544</v>
      </c>
      <c r="B545" s="1">
        <v>44909</v>
      </c>
      <c r="C545" t="s">
        <v>26</v>
      </c>
      <c r="D545" t="s">
        <v>11</v>
      </c>
      <c r="E545" s="2">
        <v>60</v>
      </c>
      <c r="F545">
        <v>15</v>
      </c>
      <c r="G545" s="2">
        <v>900</v>
      </c>
      <c r="H545" t="s">
        <v>20</v>
      </c>
      <c r="I545" t="s">
        <v>23</v>
      </c>
      <c r="J545" t="s">
        <v>24</v>
      </c>
    </row>
    <row r="546" spans="1:10" x14ac:dyDescent="0.35">
      <c r="A546">
        <v>545</v>
      </c>
      <c r="B546" s="1">
        <v>44927</v>
      </c>
      <c r="C546" t="s">
        <v>26</v>
      </c>
      <c r="D546" t="s">
        <v>11</v>
      </c>
      <c r="E546" s="2">
        <v>60</v>
      </c>
      <c r="F546">
        <v>13</v>
      </c>
      <c r="G546" s="2">
        <v>780</v>
      </c>
      <c r="H546" t="s">
        <v>20</v>
      </c>
      <c r="I546" t="s">
        <v>23</v>
      </c>
      <c r="J546" t="s">
        <v>27</v>
      </c>
    </row>
    <row r="547" spans="1:10" x14ac:dyDescent="0.35">
      <c r="A547">
        <v>546</v>
      </c>
      <c r="B547" s="1">
        <v>44751</v>
      </c>
      <c r="C547" t="s">
        <v>10</v>
      </c>
      <c r="D547" t="s">
        <v>11</v>
      </c>
      <c r="E547" s="2">
        <v>20</v>
      </c>
      <c r="F547">
        <v>1</v>
      </c>
      <c r="G547" s="2">
        <v>20</v>
      </c>
      <c r="H547" t="s">
        <v>16</v>
      </c>
      <c r="I547" t="s">
        <v>23</v>
      </c>
      <c r="J547" t="s">
        <v>27</v>
      </c>
    </row>
    <row r="548" spans="1:10" x14ac:dyDescent="0.35">
      <c r="A548">
        <v>547</v>
      </c>
      <c r="B548" s="1">
        <v>44695</v>
      </c>
      <c r="C548" t="s">
        <v>28</v>
      </c>
      <c r="D548" t="s">
        <v>19</v>
      </c>
      <c r="E548" s="2">
        <v>40</v>
      </c>
      <c r="F548">
        <v>10</v>
      </c>
      <c r="G548" s="2">
        <v>400</v>
      </c>
      <c r="H548" t="s">
        <v>20</v>
      </c>
      <c r="I548" t="s">
        <v>13</v>
      </c>
      <c r="J548" t="s">
        <v>24</v>
      </c>
    </row>
    <row r="549" spans="1:10" x14ac:dyDescent="0.35">
      <c r="A549">
        <v>548</v>
      </c>
      <c r="B549" s="1">
        <v>45014</v>
      </c>
      <c r="C549" t="s">
        <v>28</v>
      </c>
      <c r="D549" t="s">
        <v>19</v>
      </c>
      <c r="E549" s="2">
        <v>40</v>
      </c>
      <c r="F549">
        <v>14</v>
      </c>
      <c r="G549" s="2">
        <v>560</v>
      </c>
      <c r="H549" t="s">
        <v>16</v>
      </c>
      <c r="I549" t="s">
        <v>13</v>
      </c>
      <c r="J549" t="s">
        <v>17</v>
      </c>
    </row>
    <row r="550" spans="1:10" x14ac:dyDescent="0.35">
      <c r="A550">
        <v>549</v>
      </c>
      <c r="B550" s="1">
        <v>44666</v>
      </c>
      <c r="C550" t="s">
        <v>18</v>
      </c>
      <c r="D550" t="s">
        <v>19</v>
      </c>
      <c r="E550" s="2">
        <v>25</v>
      </c>
      <c r="F550">
        <v>3</v>
      </c>
      <c r="G550" s="2">
        <v>75</v>
      </c>
      <c r="H550" t="s">
        <v>20</v>
      </c>
      <c r="I550" t="s">
        <v>13</v>
      </c>
      <c r="J550" t="s">
        <v>17</v>
      </c>
    </row>
    <row r="551" spans="1:10" x14ac:dyDescent="0.35">
      <c r="A551">
        <v>550</v>
      </c>
      <c r="B551" s="1">
        <v>44880</v>
      </c>
      <c r="C551" t="s">
        <v>28</v>
      </c>
      <c r="D551" t="s">
        <v>19</v>
      </c>
      <c r="E551" s="2">
        <v>40</v>
      </c>
      <c r="F551">
        <v>15</v>
      </c>
      <c r="G551" s="2">
        <v>600</v>
      </c>
      <c r="H551" t="s">
        <v>20</v>
      </c>
      <c r="I551" t="s">
        <v>13</v>
      </c>
      <c r="J551" t="s">
        <v>17</v>
      </c>
    </row>
    <row r="552" spans="1:10" x14ac:dyDescent="0.35">
      <c r="A552">
        <v>551</v>
      </c>
      <c r="B552" s="1">
        <v>44772</v>
      </c>
      <c r="C552" t="s">
        <v>18</v>
      </c>
      <c r="D552" t="s">
        <v>19</v>
      </c>
      <c r="E552" s="2">
        <v>25</v>
      </c>
      <c r="F552">
        <v>7</v>
      </c>
      <c r="G552" s="2">
        <v>175</v>
      </c>
      <c r="H552" t="s">
        <v>16</v>
      </c>
      <c r="I552" t="s">
        <v>13</v>
      </c>
      <c r="J552" t="s">
        <v>21</v>
      </c>
    </row>
    <row r="553" spans="1:10" x14ac:dyDescent="0.35">
      <c r="A553">
        <v>552</v>
      </c>
      <c r="B553" s="1">
        <v>44816</v>
      </c>
      <c r="C553" t="s">
        <v>18</v>
      </c>
      <c r="D553" t="s">
        <v>19</v>
      </c>
      <c r="E553" s="2">
        <v>25</v>
      </c>
      <c r="F553">
        <v>15</v>
      </c>
      <c r="G553" s="2">
        <v>375</v>
      </c>
      <c r="H553" t="s">
        <v>16</v>
      </c>
      <c r="I553" t="s">
        <v>23</v>
      </c>
      <c r="J553" t="s">
        <v>27</v>
      </c>
    </row>
    <row r="554" spans="1:10" x14ac:dyDescent="0.35">
      <c r="A554">
        <v>553</v>
      </c>
      <c r="B554" s="1">
        <v>44876</v>
      </c>
      <c r="C554" t="s">
        <v>22</v>
      </c>
      <c r="D554" t="s">
        <v>11</v>
      </c>
      <c r="E554" s="2">
        <v>20</v>
      </c>
      <c r="F554">
        <v>14</v>
      </c>
      <c r="G554" s="2">
        <v>280</v>
      </c>
      <c r="H554" t="s">
        <v>16</v>
      </c>
      <c r="I554" t="s">
        <v>13</v>
      </c>
      <c r="J554" t="s">
        <v>21</v>
      </c>
    </row>
    <row r="555" spans="1:10" x14ac:dyDescent="0.35">
      <c r="A555">
        <v>554</v>
      </c>
      <c r="B555" s="1">
        <v>44994</v>
      </c>
      <c r="C555" t="s">
        <v>22</v>
      </c>
      <c r="D555" t="s">
        <v>11</v>
      </c>
      <c r="E555" s="2">
        <v>20</v>
      </c>
      <c r="F555">
        <v>4</v>
      </c>
      <c r="G555" s="2">
        <v>80</v>
      </c>
      <c r="H555" t="s">
        <v>16</v>
      </c>
      <c r="I555" t="s">
        <v>23</v>
      </c>
      <c r="J555" t="s">
        <v>17</v>
      </c>
    </row>
    <row r="556" spans="1:10" x14ac:dyDescent="0.35">
      <c r="A556">
        <v>555</v>
      </c>
      <c r="B556" s="1">
        <v>44667</v>
      </c>
      <c r="C556" t="s">
        <v>26</v>
      </c>
      <c r="D556" t="s">
        <v>11</v>
      </c>
      <c r="E556" s="2">
        <v>60</v>
      </c>
      <c r="F556">
        <v>6</v>
      </c>
      <c r="G556" s="2">
        <v>360</v>
      </c>
      <c r="H556" t="s">
        <v>16</v>
      </c>
      <c r="I556" t="s">
        <v>23</v>
      </c>
      <c r="J556" t="s">
        <v>21</v>
      </c>
    </row>
    <row r="557" spans="1:10" x14ac:dyDescent="0.35">
      <c r="A557">
        <v>556</v>
      </c>
      <c r="B557" s="1">
        <v>44984</v>
      </c>
      <c r="C557" t="s">
        <v>15</v>
      </c>
      <c r="D557" t="s">
        <v>11</v>
      </c>
      <c r="E557" s="2">
        <v>20</v>
      </c>
      <c r="F557">
        <v>9</v>
      </c>
      <c r="G557" s="2">
        <v>180</v>
      </c>
      <c r="H557" t="s">
        <v>16</v>
      </c>
      <c r="I557" t="s">
        <v>23</v>
      </c>
      <c r="J557" t="s">
        <v>14</v>
      </c>
    </row>
    <row r="558" spans="1:10" x14ac:dyDescent="0.35">
      <c r="A558">
        <v>557</v>
      </c>
      <c r="B558" s="1">
        <v>44742</v>
      </c>
      <c r="C558" t="s">
        <v>26</v>
      </c>
      <c r="D558" t="s">
        <v>11</v>
      </c>
      <c r="E558" s="2">
        <v>60</v>
      </c>
      <c r="F558">
        <v>2</v>
      </c>
      <c r="G558" s="2">
        <v>120</v>
      </c>
      <c r="H558" t="s">
        <v>16</v>
      </c>
      <c r="I558" t="s">
        <v>23</v>
      </c>
      <c r="J558" t="s">
        <v>21</v>
      </c>
    </row>
    <row r="559" spans="1:10" x14ac:dyDescent="0.35">
      <c r="A559">
        <v>558</v>
      </c>
      <c r="B559" s="1">
        <v>44835</v>
      </c>
      <c r="C559" t="s">
        <v>22</v>
      </c>
      <c r="D559" t="s">
        <v>11</v>
      </c>
      <c r="E559" s="2">
        <v>20</v>
      </c>
      <c r="F559">
        <v>5</v>
      </c>
      <c r="G559" s="2">
        <v>100</v>
      </c>
      <c r="H559" t="s">
        <v>20</v>
      </c>
      <c r="I559" t="s">
        <v>13</v>
      </c>
      <c r="J559" t="s">
        <v>24</v>
      </c>
    </row>
    <row r="560" spans="1:10" x14ac:dyDescent="0.35">
      <c r="A560">
        <v>559</v>
      </c>
      <c r="B560" s="1">
        <v>44804</v>
      </c>
      <c r="C560" t="s">
        <v>28</v>
      </c>
      <c r="D560" t="s">
        <v>19</v>
      </c>
      <c r="E560" s="2">
        <v>40</v>
      </c>
      <c r="F560">
        <v>5</v>
      </c>
      <c r="G560" s="2">
        <v>200</v>
      </c>
      <c r="H560" t="s">
        <v>20</v>
      </c>
      <c r="I560" t="s">
        <v>23</v>
      </c>
      <c r="J560" t="s">
        <v>14</v>
      </c>
    </row>
    <row r="561" spans="1:10" x14ac:dyDescent="0.35">
      <c r="A561">
        <v>560</v>
      </c>
      <c r="B561" s="1">
        <v>44905</v>
      </c>
      <c r="C561" t="s">
        <v>18</v>
      </c>
      <c r="D561" t="s">
        <v>19</v>
      </c>
      <c r="E561" s="2">
        <v>25</v>
      </c>
      <c r="F561">
        <v>1</v>
      </c>
      <c r="G561" s="2">
        <v>25</v>
      </c>
      <c r="H561" t="s">
        <v>16</v>
      </c>
      <c r="I561" t="s">
        <v>13</v>
      </c>
      <c r="J561" t="s">
        <v>21</v>
      </c>
    </row>
    <row r="562" spans="1:10" x14ac:dyDescent="0.35">
      <c r="A562">
        <v>561</v>
      </c>
      <c r="B562" s="1">
        <v>44725</v>
      </c>
      <c r="C562" t="s">
        <v>22</v>
      </c>
      <c r="D562" t="s">
        <v>11</v>
      </c>
      <c r="E562" s="2">
        <v>20</v>
      </c>
      <c r="F562">
        <v>1</v>
      </c>
      <c r="G562" s="2">
        <v>20</v>
      </c>
      <c r="H562" t="s">
        <v>16</v>
      </c>
      <c r="I562" t="s">
        <v>23</v>
      </c>
      <c r="J562" t="s">
        <v>27</v>
      </c>
    </row>
    <row r="563" spans="1:10" x14ac:dyDescent="0.35">
      <c r="A563">
        <v>562</v>
      </c>
      <c r="B563" s="1">
        <v>44782</v>
      </c>
      <c r="C563" t="s">
        <v>25</v>
      </c>
      <c r="D563" t="s">
        <v>11</v>
      </c>
      <c r="E563" s="2">
        <v>50</v>
      </c>
      <c r="F563">
        <v>4</v>
      </c>
      <c r="G563" s="2">
        <v>200</v>
      </c>
      <c r="H563" t="s">
        <v>16</v>
      </c>
      <c r="I563" t="s">
        <v>13</v>
      </c>
      <c r="J563" t="s">
        <v>17</v>
      </c>
    </row>
    <row r="564" spans="1:10" x14ac:dyDescent="0.35">
      <c r="A564">
        <v>563</v>
      </c>
      <c r="B564" s="1">
        <v>44847</v>
      </c>
      <c r="C564" t="s">
        <v>25</v>
      </c>
      <c r="D564" t="s">
        <v>11</v>
      </c>
      <c r="E564" s="2">
        <v>50</v>
      </c>
      <c r="F564">
        <v>7</v>
      </c>
      <c r="G564" s="2">
        <v>350</v>
      </c>
      <c r="H564" t="s">
        <v>20</v>
      </c>
      <c r="I564" t="s">
        <v>23</v>
      </c>
      <c r="J564" t="s">
        <v>21</v>
      </c>
    </row>
    <row r="565" spans="1:10" x14ac:dyDescent="0.35">
      <c r="A565">
        <v>564</v>
      </c>
      <c r="B565" s="1">
        <v>44831</v>
      </c>
      <c r="C565" t="s">
        <v>28</v>
      </c>
      <c r="D565" t="s">
        <v>19</v>
      </c>
      <c r="E565" s="2">
        <v>40</v>
      </c>
      <c r="F565">
        <v>2</v>
      </c>
      <c r="G565" s="2">
        <v>80</v>
      </c>
      <c r="H565" t="s">
        <v>12</v>
      </c>
      <c r="I565" t="s">
        <v>13</v>
      </c>
      <c r="J565" t="s">
        <v>24</v>
      </c>
    </row>
    <row r="566" spans="1:10" x14ac:dyDescent="0.35">
      <c r="A566">
        <v>565</v>
      </c>
      <c r="B566" s="1">
        <v>44831</v>
      </c>
      <c r="C566" t="s">
        <v>22</v>
      </c>
      <c r="D566" t="s">
        <v>11</v>
      </c>
      <c r="E566" s="2">
        <v>20</v>
      </c>
      <c r="F566">
        <v>15</v>
      </c>
      <c r="G566" s="2">
        <v>300</v>
      </c>
      <c r="H566" t="s">
        <v>16</v>
      </c>
      <c r="I566" t="s">
        <v>13</v>
      </c>
      <c r="J566" t="s">
        <v>21</v>
      </c>
    </row>
    <row r="567" spans="1:10" x14ac:dyDescent="0.35">
      <c r="A567">
        <v>566</v>
      </c>
      <c r="B567" s="1">
        <v>44761</v>
      </c>
      <c r="C567" t="s">
        <v>25</v>
      </c>
      <c r="D567" t="s">
        <v>11</v>
      </c>
      <c r="E567" s="2">
        <v>50</v>
      </c>
      <c r="F567">
        <v>3</v>
      </c>
      <c r="G567" s="2">
        <v>150</v>
      </c>
      <c r="H567" t="s">
        <v>16</v>
      </c>
      <c r="I567" t="s">
        <v>13</v>
      </c>
      <c r="J567" t="s">
        <v>21</v>
      </c>
    </row>
    <row r="568" spans="1:10" x14ac:dyDescent="0.35">
      <c r="A568">
        <v>567</v>
      </c>
      <c r="B568" s="1">
        <v>44850</v>
      </c>
      <c r="C568" t="s">
        <v>28</v>
      </c>
      <c r="D568" t="s">
        <v>19</v>
      </c>
      <c r="E568" s="2">
        <v>40</v>
      </c>
      <c r="F568">
        <v>7</v>
      </c>
      <c r="G568" s="2">
        <v>280</v>
      </c>
      <c r="H568" t="s">
        <v>20</v>
      </c>
      <c r="I568" t="s">
        <v>23</v>
      </c>
      <c r="J568" t="s">
        <v>17</v>
      </c>
    </row>
    <row r="569" spans="1:10" x14ac:dyDescent="0.35">
      <c r="A569">
        <v>568</v>
      </c>
      <c r="B569" s="1">
        <v>44924</v>
      </c>
      <c r="C569" t="s">
        <v>22</v>
      </c>
      <c r="D569" t="s">
        <v>11</v>
      </c>
      <c r="E569" s="2">
        <v>20</v>
      </c>
      <c r="F569">
        <v>12</v>
      </c>
      <c r="G569" s="2">
        <v>240</v>
      </c>
      <c r="H569" t="s">
        <v>12</v>
      </c>
      <c r="I569" t="s">
        <v>23</v>
      </c>
      <c r="J569" t="s">
        <v>17</v>
      </c>
    </row>
    <row r="570" spans="1:10" x14ac:dyDescent="0.35">
      <c r="A570">
        <v>569</v>
      </c>
      <c r="B570" s="1">
        <v>44928</v>
      </c>
      <c r="C570" t="s">
        <v>28</v>
      </c>
      <c r="D570" t="s">
        <v>19</v>
      </c>
      <c r="E570" s="2">
        <v>40</v>
      </c>
      <c r="F570">
        <v>15</v>
      </c>
      <c r="G570" s="2">
        <v>600</v>
      </c>
      <c r="H570" t="s">
        <v>20</v>
      </c>
      <c r="I570" t="s">
        <v>23</v>
      </c>
      <c r="J570" t="s">
        <v>27</v>
      </c>
    </row>
    <row r="571" spans="1:10" x14ac:dyDescent="0.35">
      <c r="A571">
        <v>570</v>
      </c>
      <c r="B571" s="1">
        <v>44819</v>
      </c>
      <c r="C571" t="s">
        <v>18</v>
      </c>
      <c r="D571" t="s">
        <v>19</v>
      </c>
      <c r="E571" s="2">
        <v>25</v>
      </c>
      <c r="F571">
        <v>4</v>
      </c>
      <c r="G571" s="2">
        <v>100</v>
      </c>
      <c r="H571" t="s">
        <v>16</v>
      </c>
      <c r="I571" t="s">
        <v>13</v>
      </c>
      <c r="J571" t="s">
        <v>24</v>
      </c>
    </row>
    <row r="572" spans="1:10" x14ac:dyDescent="0.35">
      <c r="A572">
        <v>571</v>
      </c>
      <c r="B572" s="1">
        <v>44893</v>
      </c>
      <c r="C572" t="s">
        <v>18</v>
      </c>
      <c r="D572" t="s">
        <v>19</v>
      </c>
      <c r="E572" s="2">
        <v>25</v>
      </c>
      <c r="F572">
        <v>1</v>
      </c>
      <c r="G572" s="2">
        <v>25</v>
      </c>
      <c r="H572" t="s">
        <v>16</v>
      </c>
      <c r="I572" t="s">
        <v>23</v>
      </c>
      <c r="J572" t="s">
        <v>21</v>
      </c>
    </row>
    <row r="573" spans="1:10" x14ac:dyDescent="0.35">
      <c r="A573">
        <v>572</v>
      </c>
      <c r="B573" s="1">
        <v>44653</v>
      </c>
      <c r="C573" t="s">
        <v>26</v>
      </c>
      <c r="D573" t="s">
        <v>11</v>
      </c>
      <c r="E573" s="2">
        <v>60</v>
      </c>
      <c r="F573">
        <v>15</v>
      </c>
      <c r="G573" s="2">
        <v>900</v>
      </c>
      <c r="H573" t="s">
        <v>16</v>
      </c>
      <c r="I573" t="s">
        <v>13</v>
      </c>
      <c r="J573" t="s">
        <v>17</v>
      </c>
    </row>
    <row r="574" spans="1:10" x14ac:dyDescent="0.35">
      <c r="A574">
        <v>573</v>
      </c>
      <c r="B574" s="1">
        <v>44811</v>
      </c>
      <c r="C574" t="s">
        <v>25</v>
      </c>
      <c r="D574" t="s">
        <v>11</v>
      </c>
      <c r="E574" s="2">
        <v>50</v>
      </c>
      <c r="F574">
        <v>2</v>
      </c>
      <c r="G574" s="2">
        <v>100</v>
      </c>
      <c r="H574" t="s">
        <v>16</v>
      </c>
      <c r="I574" t="s">
        <v>13</v>
      </c>
      <c r="J574" t="s">
        <v>17</v>
      </c>
    </row>
    <row r="575" spans="1:10" x14ac:dyDescent="0.35">
      <c r="A575">
        <v>574</v>
      </c>
      <c r="B575" s="1">
        <v>44856</v>
      </c>
      <c r="C575" t="s">
        <v>10</v>
      </c>
      <c r="D575" t="s">
        <v>11</v>
      </c>
      <c r="E575" s="2">
        <v>20</v>
      </c>
      <c r="F575">
        <v>1</v>
      </c>
      <c r="G575" s="2">
        <v>20</v>
      </c>
      <c r="H575" t="s">
        <v>16</v>
      </c>
      <c r="I575" t="s">
        <v>23</v>
      </c>
      <c r="J575" t="s">
        <v>14</v>
      </c>
    </row>
    <row r="576" spans="1:10" x14ac:dyDescent="0.35">
      <c r="A576">
        <v>575</v>
      </c>
      <c r="B576" s="1">
        <v>44919</v>
      </c>
      <c r="C576" t="s">
        <v>15</v>
      </c>
      <c r="D576" t="s">
        <v>11</v>
      </c>
      <c r="E576" s="2">
        <v>20</v>
      </c>
      <c r="F576">
        <v>1</v>
      </c>
      <c r="G576" s="2">
        <v>20</v>
      </c>
      <c r="H576" t="s">
        <v>20</v>
      </c>
      <c r="I576" t="s">
        <v>23</v>
      </c>
      <c r="J576" t="s">
        <v>27</v>
      </c>
    </row>
    <row r="577" spans="1:10" x14ac:dyDescent="0.35">
      <c r="A577">
        <v>576</v>
      </c>
      <c r="B577" s="1">
        <v>45008</v>
      </c>
      <c r="C577" t="s">
        <v>22</v>
      </c>
      <c r="D577" t="s">
        <v>11</v>
      </c>
      <c r="E577" s="2">
        <v>20</v>
      </c>
      <c r="F577">
        <v>12</v>
      </c>
      <c r="G577" s="2">
        <v>240</v>
      </c>
      <c r="H577" t="s">
        <v>16</v>
      </c>
      <c r="I577" t="s">
        <v>23</v>
      </c>
      <c r="J577" t="s">
        <v>17</v>
      </c>
    </row>
    <row r="578" spans="1:10" x14ac:dyDescent="0.35">
      <c r="A578">
        <v>577</v>
      </c>
      <c r="B578" s="1">
        <v>44810</v>
      </c>
      <c r="C578" t="s">
        <v>28</v>
      </c>
      <c r="D578" t="s">
        <v>19</v>
      </c>
      <c r="E578" s="2">
        <v>40</v>
      </c>
      <c r="F578">
        <v>7</v>
      </c>
      <c r="G578" s="2">
        <v>280</v>
      </c>
      <c r="H578" t="s">
        <v>16</v>
      </c>
      <c r="I578" t="s">
        <v>13</v>
      </c>
      <c r="J578" t="s">
        <v>21</v>
      </c>
    </row>
    <row r="579" spans="1:10" x14ac:dyDescent="0.35">
      <c r="A579">
        <v>578</v>
      </c>
      <c r="B579" s="1">
        <v>44742</v>
      </c>
      <c r="C579" t="s">
        <v>25</v>
      </c>
      <c r="D579" t="s">
        <v>11</v>
      </c>
      <c r="E579" s="2">
        <v>50</v>
      </c>
      <c r="F579">
        <v>5</v>
      </c>
      <c r="G579" s="2">
        <v>250</v>
      </c>
      <c r="H579" t="s">
        <v>20</v>
      </c>
      <c r="I579" t="s">
        <v>23</v>
      </c>
      <c r="J579" t="s">
        <v>14</v>
      </c>
    </row>
    <row r="580" spans="1:10" x14ac:dyDescent="0.35">
      <c r="A580">
        <v>579</v>
      </c>
      <c r="B580" s="1">
        <v>44678</v>
      </c>
      <c r="C580" t="s">
        <v>22</v>
      </c>
      <c r="D580" t="s">
        <v>11</v>
      </c>
      <c r="E580" s="2">
        <v>20</v>
      </c>
      <c r="F580">
        <v>2</v>
      </c>
      <c r="G580" s="2">
        <v>40</v>
      </c>
      <c r="H580" t="s">
        <v>16</v>
      </c>
      <c r="I580" t="s">
        <v>13</v>
      </c>
      <c r="J580" t="s">
        <v>21</v>
      </c>
    </row>
    <row r="581" spans="1:10" x14ac:dyDescent="0.35">
      <c r="A581">
        <v>580</v>
      </c>
      <c r="B581" s="1">
        <v>44743</v>
      </c>
      <c r="C581" t="s">
        <v>22</v>
      </c>
      <c r="D581" t="s">
        <v>11</v>
      </c>
      <c r="E581" s="2">
        <v>20</v>
      </c>
      <c r="F581">
        <v>10</v>
      </c>
      <c r="G581" s="2">
        <v>200</v>
      </c>
      <c r="H581" t="s">
        <v>20</v>
      </c>
      <c r="I581" t="s">
        <v>13</v>
      </c>
      <c r="J581" t="s">
        <v>14</v>
      </c>
    </row>
    <row r="582" spans="1:10" x14ac:dyDescent="0.35">
      <c r="A582">
        <v>581</v>
      </c>
      <c r="B582" s="1">
        <v>44674</v>
      </c>
      <c r="C582" t="s">
        <v>18</v>
      </c>
      <c r="D582" t="s">
        <v>19</v>
      </c>
      <c r="E582" s="2">
        <v>25</v>
      </c>
      <c r="F582">
        <v>13</v>
      </c>
      <c r="G582" s="2">
        <v>325</v>
      </c>
      <c r="H582" t="s">
        <v>16</v>
      </c>
      <c r="I582" t="s">
        <v>13</v>
      </c>
      <c r="J582" t="s">
        <v>17</v>
      </c>
    </row>
    <row r="583" spans="1:10" x14ac:dyDescent="0.35">
      <c r="A583">
        <v>582</v>
      </c>
      <c r="B583" s="1">
        <v>44693</v>
      </c>
      <c r="C583" t="s">
        <v>10</v>
      </c>
      <c r="D583" t="s">
        <v>11</v>
      </c>
      <c r="E583" s="2">
        <v>20</v>
      </c>
      <c r="F583">
        <v>13</v>
      </c>
      <c r="G583" s="2">
        <v>260</v>
      </c>
      <c r="H583" t="s">
        <v>16</v>
      </c>
      <c r="I583" t="s">
        <v>13</v>
      </c>
      <c r="J583" t="s">
        <v>24</v>
      </c>
    </row>
    <row r="584" spans="1:10" x14ac:dyDescent="0.35">
      <c r="A584">
        <v>583</v>
      </c>
      <c r="B584" s="1">
        <v>44712</v>
      </c>
      <c r="C584" t="s">
        <v>25</v>
      </c>
      <c r="D584" t="s">
        <v>11</v>
      </c>
      <c r="E584" s="2">
        <v>50</v>
      </c>
      <c r="F584">
        <v>8</v>
      </c>
      <c r="G584" s="2">
        <v>400</v>
      </c>
      <c r="H584" t="s">
        <v>16</v>
      </c>
      <c r="I584" t="s">
        <v>13</v>
      </c>
      <c r="J584" t="s">
        <v>14</v>
      </c>
    </row>
    <row r="585" spans="1:10" x14ac:dyDescent="0.35">
      <c r="A585">
        <v>584</v>
      </c>
      <c r="B585" s="1">
        <v>44899</v>
      </c>
      <c r="C585" t="s">
        <v>28</v>
      </c>
      <c r="D585" t="s">
        <v>19</v>
      </c>
      <c r="E585" s="2">
        <v>40</v>
      </c>
      <c r="F585">
        <v>15</v>
      </c>
      <c r="G585" s="2">
        <v>600</v>
      </c>
      <c r="H585" t="s">
        <v>16</v>
      </c>
      <c r="I585" t="s">
        <v>13</v>
      </c>
      <c r="J585" t="s">
        <v>24</v>
      </c>
    </row>
    <row r="586" spans="1:10" x14ac:dyDescent="0.35">
      <c r="A586">
        <v>585</v>
      </c>
      <c r="B586" s="1">
        <v>44990</v>
      </c>
      <c r="C586" t="s">
        <v>15</v>
      </c>
      <c r="D586" t="s">
        <v>11</v>
      </c>
      <c r="E586" s="2">
        <v>20</v>
      </c>
      <c r="F586">
        <v>11</v>
      </c>
      <c r="G586" s="2">
        <v>220</v>
      </c>
      <c r="H586" t="s">
        <v>16</v>
      </c>
      <c r="I586" t="s">
        <v>23</v>
      </c>
      <c r="J586" t="s">
        <v>24</v>
      </c>
    </row>
    <row r="587" spans="1:10" x14ac:dyDescent="0.35">
      <c r="A587">
        <v>586</v>
      </c>
      <c r="B587" s="1">
        <v>44703</v>
      </c>
      <c r="C587" t="s">
        <v>26</v>
      </c>
      <c r="D587" t="s">
        <v>11</v>
      </c>
      <c r="E587" s="2">
        <v>60</v>
      </c>
      <c r="F587">
        <v>15</v>
      </c>
      <c r="G587" s="2">
        <v>900</v>
      </c>
      <c r="H587" t="s">
        <v>20</v>
      </c>
      <c r="I587" t="s">
        <v>13</v>
      </c>
      <c r="J587" t="s">
        <v>14</v>
      </c>
    </row>
    <row r="588" spans="1:10" x14ac:dyDescent="0.35">
      <c r="A588">
        <v>587</v>
      </c>
      <c r="B588" s="1">
        <v>44660</v>
      </c>
      <c r="C588" t="s">
        <v>10</v>
      </c>
      <c r="D588" t="s">
        <v>11</v>
      </c>
      <c r="E588" s="2">
        <v>20</v>
      </c>
      <c r="F588">
        <v>10</v>
      </c>
      <c r="G588" s="2">
        <v>200</v>
      </c>
      <c r="H588" t="s">
        <v>16</v>
      </c>
      <c r="I588" t="s">
        <v>23</v>
      </c>
      <c r="J588" t="s">
        <v>14</v>
      </c>
    </row>
    <row r="589" spans="1:10" x14ac:dyDescent="0.35">
      <c r="A589">
        <v>588</v>
      </c>
      <c r="B589" s="1">
        <v>44728</v>
      </c>
      <c r="C589" t="s">
        <v>25</v>
      </c>
      <c r="D589" t="s">
        <v>11</v>
      </c>
      <c r="E589" s="2">
        <v>50</v>
      </c>
      <c r="F589">
        <v>11</v>
      </c>
      <c r="G589" s="2">
        <v>550</v>
      </c>
      <c r="H589" t="s">
        <v>16</v>
      </c>
      <c r="I589" t="s">
        <v>23</v>
      </c>
      <c r="J589" t="s">
        <v>24</v>
      </c>
    </row>
    <row r="590" spans="1:10" x14ac:dyDescent="0.35">
      <c r="A590">
        <v>589</v>
      </c>
      <c r="B590" s="1">
        <v>44798</v>
      </c>
      <c r="C590" t="s">
        <v>28</v>
      </c>
      <c r="D590" t="s">
        <v>19</v>
      </c>
      <c r="E590" s="2">
        <v>40</v>
      </c>
      <c r="F590">
        <v>5</v>
      </c>
      <c r="G590" s="2">
        <v>200</v>
      </c>
      <c r="H590" t="s">
        <v>16</v>
      </c>
      <c r="I590" t="s">
        <v>13</v>
      </c>
      <c r="J590" t="s">
        <v>14</v>
      </c>
    </row>
    <row r="591" spans="1:10" x14ac:dyDescent="0.35">
      <c r="A591">
        <v>590</v>
      </c>
      <c r="B591" s="1">
        <v>45012</v>
      </c>
      <c r="C591" t="s">
        <v>22</v>
      </c>
      <c r="D591" t="s">
        <v>11</v>
      </c>
      <c r="E591" s="2">
        <v>20</v>
      </c>
      <c r="F591">
        <v>15</v>
      </c>
      <c r="G591" s="2">
        <v>300</v>
      </c>
      <c r="H591" t="s">
        <v>20</v>
      </c>
      <c r="I591" t="s">
        <v>13</v>
      </c>
      <c r="J591" t="s">
        <v>27</v>
      </c>
    </row>
    <row r="592" spans="1:10" x14ac:dyDescent="0.35">
      <c r="A592">
        <v>591</v>
      </c>
      <c r="B592" s="1">
        <v>44835</v>
      </c>
      <c r="C592" t="s">
        <v>26</v>
      </c>
      <c r="D592" t="s">
        <v>11</v>
      </c>
      <c r="E592" s="2">
        <v>60</v>
      </c>
      <c r="F592">
        <v>13</v>
      </c>
      <c r="G592" s="2">
        <v>780</v>
      </c>
      <c r="H592" t="s">
        <v>16</v>
      </c>
      <c r="I592" t="s">
        <v>23</v>
      </c>
      <c r="J592" t="s">
        <v>24</v>
      </c>
    </row>
    <row r="593" spans="1:10" x14ac:dyDescent="0.35">
      <c r="A593">
        <v>592</v>
      </c>
      <c r="B593" s="1">
        <v>44899</v>
      </c>
      <c r="C593" t="s">
        <v>18</v>
      </c>
      <c r="D593" t="s">
        <v>19</v>
      </c>
      <c r="E593" s="2">
        <v>25</v>
      </c>
      <c r="F593">
        <v>7</v>
      </c>
      <c r="G593" s="2">
        <v>175</v>
      </c>
      <c r="H593" t="s">
        <v>16</v>
      </c>
      <c r="I593" t="s">
        <v>13</v>
      </c>
      <c r="J593" t="s">
        <v>24</v>
      </c>
    </row>
    <row r="594" spans="1:10" x14ac:dyDescent="0.35">
      <c r="A594">
        <v>593</v>
      </c>
      <c r="B594" s="1">
        <v>44973</v>
      </c>
      <c r="C594" t="s">
        <v>18</v>
      </c>
      <c r="D594" t="s">
        <v>19</v>
      </c>
      <c r="E594" s="2">
        <v>25</v>
      </c>
      <c r="F594">
        <v>9</v>
      </c>
      <c r="G594" s="2">
        <v>225</v>
      </c>
      <c r="H594" t="s">
        <v>16</v>
      </c>
      <c r="I594" t="s">
        <v>23</v>
      </c>
      <c r="J594" t="s">
        <v>21</v>
      </c>
    </row>
    <row r="595" spans="1:10" x14ac:dyDescent="0.35">
      <c r="A595">
        <v>594</v>
      </c>
      <c r="B595" s="1">
        <v>44946</v>
      </c>
      <c r="C595" t="s">
        <v>25</v>
      </c>
      <c r="D595" t="s">
        <v>11</v>
      </c>
      <c r="E595" s="2">
        <v>50</v>
      </c>
      <c r="F595">
        <v>6</v>
      </c>
      <c r="G595" s="2">
        <v>300</v>
      </c>
      <c r="H595" t="s">
        <v>16</v>
      </c>
      <c r="I595" t="s">
        <v>23</v>
      </c>
      <c r="J595" t="s">
        <v>24</v>
      </c>
    </row>
    <row r="596" spans="1:10" x14ac:dyDescent="0.35">
      <c r="A596">
        <v>595</v>
      </c>
      <c r="B596" s="1">
        <v>44979</v>
      </c>
      <c r="C596" t="s">
        <v>25</v>
      </c>
      <c r="D596" t="s">
        <v>11</v>
      </c>
      <c r="E596" s="2">
        <v>50</v>
      </c>
      <c r="F596">
        <v>9</v>
      </c>
      <c r="G596" s="2">
        <v>450</v>
      </c>
      <c r="H596" t="s">
        <v>20</v>
      </c>
      <c r="I596" t="s">
        <v>13</v>
      </c>
      <c r="J596" t="s">
        <v>17</v>
      </c>
    </row>
    <row r="597" spans="1:10" x14ac:dyDescent="0.35">
      <c r="A597">
        <v>596</v>
      </c>
      <c r="B597" s="1">
        <v>44677</v>
      </c>
      <c r="C597" t="s">
        <v>28</v>
      </c>
      <c r="D597" t="s">
        <v>19</v>
      </c>
      <c r="E597" s="2">
        <v>40</v>
      </c>
      <c r="F597">
        <v>1</v>
      </c>
      <c r="G597" s="2">
        <v>40</v>
      </c>
      <c r="H597" t="s">
        <v>20</v>
      </c>
      <c r="I597" t="s">
        <v>23</v>
      </c>
      <c r="J597" t="s">
        <v>14</v>
      </c>
    </row>
    <row r="598" spans="1:10" x14ac:dyDescent="0.35">
      <c r="A598">
        <v>597</v>
      </c>
      <c r="B598" s="1">
        <v>44895</v>
      </c>
      <c r="C598" t="s">
        <v>22</v>
      </c>
      <c r="D598" t="s">
        <v>11</v>
      </c>
      <c r="E598" s="2">
        <v>20</v>
      </c>
      <c r="F598">
        <v>10</v>
      </c>
      <c r="G598" s="2">
        <v>200</v>
      </c>
      <c r="H598" t="s">
        <v>20</v>
      </c>
      <c r="I598" t="s">
        <v>13</v>
      </c>
      <c r="J598" t="s">
        <v>27</v>
      </c>
    </row>
    <row r="599" spans="1:10" x14ac:dyDescent="0.35">
      <c r="A599">
        <v>598</v>
      </c>
      <c r="B599" s="1">
        <v>44775</v>
      </c>
      <c r="C599" t="s">
        <v>28</v>
      </c>
      <c r="D599" t="s">
        <v>19</v>
      </c>
      <c r="E599" s="2">
        <v>40</v>
      </c>
      <c r="F599">
        <v>8</v>
      </c>
      <c r="G599" s="2">
        <v>320</v>
      </c>
      <c r="H599" t="s">
        <v>16</v>
      </c>
      <c r="I599" t="s">
        <v>23</v>
      </c>
      <c r="J599" t="s">
        <v>17</v>
      </c>
    </row>
    <row r="600" spans="1:10" x14ac:dyDescent="0.35">
      <c r="A600">
        <v>599</v>
      </c>
      <c r="B600" s="1">
        <v>44837</v>
      </c>
      <c r="C600" t="s">
        <v>25</v>
      </c>
      <c r="D600" t="s">
        <v>11</v>
      </c>
      <c r="E600" s="2">
        <v>50</v>
      </c>
      <c r="F600">
        <v>13</v>
      </c>
      <c r="G600" s="2">
        <v>650</v>
      </c>
      <c r="H600" t="s">
        <v>16</v>
      </c>
      <c r="I600" t="s">
        <v>13</v>
      </c>
      <c r="J600" t="s">
        <v>24</v>
      </c>
    </row>
    <row r="601" spans="1:10" x14ac:dyDescent="0.35">
      <c r="A601">
        <v>600</v>
      </c>
      <c r="B601" s="1">
        <v>44919</v>
      </c>
      <c r="C601" t="s">
        <v>22</v>
      </c>
      <c r="D601" t="s">
        <v>11</v>
      </c>
      <c r="E601" s="2">
        <v>20</v>
      </c>
      <c r="F601">
        <v>6</v>
      </c>
      <c r="G601" s="2">
        <v>120</v>
      </c>
      <c r="H601" t="s">
        <v>16</v>
      </c>
      <c r="I601" t="s">
        <v>23</v>
      </c>
      <c r="J601" t="s">
        <v>24</v>
      </c>
    </row>
    <row r="602" spans="1:10" x14ac:dyDescent="0.35">
      <c r="A602">
        <v>601</v>
      </c>
      <c r="B602" s="1">
        <v>44866</v>
      </c>
      <c r="C602" t="s">
        <v>10</v>
      </c>
      <c r="D602" t="s">
        <v>11</v>
      </c>
      <c r="E602" s="2">
        <v>20</v>
      </c>
      <c r="F602">
        <v>12</v>
      </c>
      <c r="G602" s="2">
        <v>240</v>
      </c>
      <c r="H602" t="s">
        <v>20</v>
      </c>
      <c r="I602" t="s">
        <v>13</v>
      </c>
      <c r="J602" t="s">
        <v>24</v>
      </c>
    </row>
    <row r="603" spans="1:10" x14ac:dyDescent="0.35">
      <c r="A603">
        <v>602</v>
      </c>
      <c r="B603" s="1">
        <v>44800</v>
      </c>
      <c r="C603" t="s">
        <v>10</v>
      </c>
      <c r="D603" t="s">
        <v>11</v>
      </c>
      <c r="E603" s="2">
        <v>20</v>
      </c>
      <c r="F603">
        <v>10</v>
      </c>
      <c r="G603" s="2">
        <v>200</v>
      </c>
      <c r="H603" t="s">
        <v>16</v>
      </c>
      <c r="I603" t="s">
        <v>13</v>
      </c>
      <c r="J603" t="s">
        <v>14</v>
      </c>
    </row>
    <row r="604" spans="1:10" x14ac:dyDescent="0.35">
      <c r="A604">
        <v>603</v>
      </c>
      <c r="B604" s="1">
        <v>44804</v>
      </c>
      <c r="C604" t="s">
        <v>15</v>
      </c>
      <c r="D604" t="s">
        <v>11</v>
      </c>
      <c r="E604" s="2">
        <v>20</v>
      </c>
      <c r="F604">
        <v>10</v>
      </c>
      <c r="G604" s="2">
        <v>200</v>
      </c>
      <c r="H604" t="s">
        <v>16</v>
      </c>
      <c r="I604" t="s">
        <v>23</v>
      </c>
      <c r="J604" t="s">
        <v>17</v>
      </c>
    </row>
    <row r="605" spans="1:10" x14ac:dyDescent="0.35">
      <c r="A605">
        <v>604</v>
      </c>
      <c r="B605" s="1">
        <v>44812</v>
      </c>
      <c r="C605" t="s">
        <v>25</v>
      </c>
      <c r="D605" t="s">
        <v>11</v>
      </c>
      <c r="E605" s="2">
        <v>50</v>
      </c>
      <c r="F605">
        <v>10</v>
      </c>
      <c r="G605" s="2">
        <v>500</v>
      </c>
      <c r="H605" t="s">
        <v>16</v>
      </c>
      <c r="I605" t="s">
        <v>23</v>
      </c>
      <c r="J605" t="s">
        <v>14</v>
      </c>
    </row>
    <row r="606" spans="1:10" x14ac:dyDescent="0.35">
      <c r="A606">
        <v>605</v>
      </c>
      <c r="B606" s="1">
        <v>44655</v>
      </c>
      <c r="C606" t="s">
        <v>28</v>
      </c>
      <c r="D606" t="s">
        <v>19</v>
      </c>
      <c r="E606" s="2">
        <v>40</v>
      </c>
      <c r="F606">
        <v>15</v>
      </c>
      <c r="G606" s="2">
        <v>600</v>
      </c>
      <c r="H606" t="s">
        <v>12</v>
      </c>
      <c r="I606" t="s">
        <v>23</v>
      </c>
      <c r="J606" t="s">
        <v>17</v>
      </c>
    </row>
    <row r="607" spans="1:10" x14ac:dyDescent="0.35">
      <c r="A607">
        <v>606</v>
      </c>
      <c r="B607" s="1">
        <v>44660</v>
      </c>
      <c r="C607" t="s">
        <v>28</v>
      </c>
      <c r="D607" t="s">
        <v>19</v>
      </c>
      <c r="E607" s="2">
        <v>40</v>
      </c>
      <c r="F607">
        <v>6</v>
      </c>
      <c r="G607" s="2">
        <v>240</v>
      </c>
      <c r="H607" t="s">
        <v>16</v>
      </c>
      <c r="I607" t="s">
        <v>23</v>
      </c>
      <c r="J607" t="s">
        <v>14</v>
      </c>
    </row>
    <row r="608" spans="1:10" x14ac:dyDescent="0.35">
      <c r="A608">
        <v>607</v>
      </c>
      <c r="B608" s="1">
        <v>44910</v>
      </c>
      <c r="C608" t="s">
        <v>15</v>
      </c>
      <c r="D608" t="s">
        <v>11</v>
      </c>
      <c r="E608" s="2">
        <v>20</v>
      </c>
      <c r="F608">
        <v>9</v>
      </c>
      <c r="G608" s="2">
        <v>180</v>
      </c>
      <c r="H608" t="s">
        <v>16</v>
      </c>
      <c r="I608" t="s">
        <v>23</v>
      </c>
      <c r="J608" t="s">
        <v>17</v>
      </c>
    </row>
    <row r="609" spans="1:10" x14ac:dyDescent="0.35">
      <c r="A609">
        <v>608</v>
      </c>
      <c r="B609" s="1">
        <v>44985</v>
      </c>
      <c r="C609" t="s">
        <v>10</v>
      </c>
      <c r="D609" t="s">
        <v>11</v>
      </c>
      <c r="E609" s="2">
        <v>20</v>
      </c>
      <c r="F609">
        <v>1</v>
      </c>
      <c r="G609" s="2">
        <v>20</v>
      </c>
      <c r="H609" t="s">
        <v>20</v>
      </c>
      <c r="I609" t="s">
        <v>13</v>
      </c>
      <c r="J609" t="s">
        <v>27</v>
      </c>
    </row>
    <row r="610" spans="1:10" x14ac:dyDescent="0.35">
      <c r="A610">
        <v>609</v>
      </c>
      <c r="B610" s="1">
        <v>44964</v>
      </c>
      <c r="C610" t="s">
        <v>10</v>
      </c>
      <c r="D610" t="s">
        <v>11</v>
      </c>
      <c r="E610" s="2">
        <v>20</v>
      </c>
      <c r="F610">
        <v>14</v>
      </c>
      <c r="G610" s="2">
        <v>280</v>
      </c>
      <c r="H610" t="s">
        <v>12</v>
      </c>
      <c r="I610" t="s">
        <v>13</v>
      </c>
      <c r="J610" t="s">
        <v>27</v>
      </c>
    </row>
    <row r="611" spans="1:10" x14ac:dyDescent="0.35">
      <c r="A611">
        <v>610</v>
      </c>
      <c r="B611" s="1">
        <v>44689</v>
      </c>
      <c r="C611" t="s">
        <v>25</v>
      </c>
      <c r="D611" t="s">
        <v>11</v>
      </c>
      <c r="E611" s="2">
        <v>50</v>
      </c>
      <c r="F611">
        <v>13</v>
      </c>
      <c r="G611" s="2">
        <v>650</v>
      </c>
      <c r="H611" t="s">
        <v>20</v>
      </c>
      <c r="I611" t="s">
        <v>23</v>
      </c>
      <c r="J611" t="s">
        <v>21</v>
      </c>
    </row>
    <row r="612" spans="1:10" x14ac:dyDescent="0.35">
      <c r="A612">
        <v>611</v>
      </c>
      <c r="B612" s="1">
        <v>44737</v>
      </c>
      <c r="C612" t="s">
        <v>10</v>
      </c>
      <c r="D612" t="s">
        <v>11</v>
      </c>
      <c r="E612" s="2">
        <v>20</v>
      </c>
      <c r="F612">
        <v>2</v>
      </c>
      <c r="G612" s="2">
        <v>40</v>
      </c>
      <c r="H612" t="s">
        <v>20</v>
      </c>
      <c r="I612" t="s">
        <v>23</v>
      </c>
      <c r="J612" t="s">
        <v>24</v>
      </c>
    </row>
    <row r="613" spans="1:10" x14ac:dyDescent="0.35">
      <c r="A613">
        <v>612</v>
      </c>
      <c r="B613" s="1">
        <v>44963</v>
      </c>
      <c r="C613" t="s">
        <v>10</v>
      </c>
      <c r="D613" t="s">
        <v>11</v>
      </c>
      <c r="E613" s="2">
        <v>20</v>
      </c>
      <c r="F613">
        <v>3</v>
      </c>
      <c r="G613" s="2">
        <v>60</v>
      </c>
      <c r="H613" t="s">
        <v>20</v>
      </c>
      <c r="I613" t="s">
        <v>13</v>
      </c>
      <c r="J613" t="s">
        <v>27</v>
      </c>
    </row>
    <row r="614" spans="1:10" x14ac:dyDescent="0.35">
      <c r="A614">
        <v>613</v>
      </c>
      <c r="B614" s="1">
        <v>44722</v>
      </c>
      <c r="C614" t="s">
        <v>15</v>
      </c>
      <c r="D614" t="s">
        <v>11</v>
      </c>
      <c r="E614" s="2">
        <v>20</v>
      </c>
      <c r="F614">
        <v>5</v>
      </c>
      <c r="G614" s="2">
        <v>100</v>
      </c>
      <c r="H614" t="s">
        <v>20</v>
      </c>
      <c r="I614" t="s">
        <v>23</v>
      </c>
      <c r="J614" t="s">
        <v>14</v>
      </c>
    </row>
    <row r="615" spans="1:10" x14ac:dyDescent="0.35">
      <c r="A615">
        <v>614</v>
      </c>
      <c r="B615" s="1">
        <v>44914</v>
      </c>
      <c r="C615" t="s">
        <v>15</v>
      </c>
      <c r="D615" t="s">
        <v>11</v>
      </c>
      <c r="E615" s="2">
        <v>20</v>
      </c>
      <c r="F615">
        <v>2</v>
      </c>
      <c r="G615" s="2">
        <v>40</v>
      </c>
      <c r="H615" t="s">
        <v>12</v>
      </c>
      <c r="I615" t="s">
        <v>13</v>
      </c>
      <c r="J615" t="s">
        <v>24</v>
      </c>
    </row>
    <row r="616" spans="1:10" x14ac:dyDescent="0.35">
      <c r="A616">
        <v>615</v>
      </c>
      <c r="B616" s="1">
        <v>44787</v>
      </c>
      <c r="C616" t="s">
        <v>26</v>
      </c>
      <c r="D616" t="s">
        <v>11</v>
      </c>
      <c r="E616" s="2">
        <v>60</v>
      </c>
      <c r="F616">
        <v>14</v>
      </c>
      <c r="G616" s="2">
        <v>840</v>
      </c>
      <c r="H616" t="s">
        <v>12</v>
      </c>
      <c r="I616" t="s">
        <v>13</v>
      </c>
      <c r="J616" t="s">
        <v>24</v>
      </c>
    </row>
    <row r="617" spans="1:10" x14ac:dyDescent="0.35">
      <c r="A617">
        <v>616</v>
      </c>
      <c r="B617" s="1">
        <v>44757</v>
      </c>
      <c r="C617" t="s">
        <v>15</v>
      </c>
      <c r="D617" t="s">
        <v>11</v>
      </c>
      <c r="E617" s="2">
        <v>20</v>
      </c>
      <c r="F617">
        <v>6</v>
      </c>
      <c r="G617" s="2">
        <v>120</v>
      </c>
      <c r="H617" t="s">
        <v>20</v>
      </c>
      <c r="I617" t="s">
        <v>23</v>
      </c>
      <c r="J617" t="s">
        <v>27</v>
      </c>
    </row>
    <row r="618" spans="1:10" x14ac:dyDescent="0.35">
      <c r="A618">
        <v>617</v>
      </c>
      <c r="B618" s="1">
        <v>44740</v>
      </c>
      <c r="C618" t="s">
        <v>18</v>
      </c>
      <c r="D618" t="s">
        <v>19</v>
      </c>
      <c r="E618" s="2">
        <v>25</v>
      </c>
      <c r="F618">
        <v>2</v>
      </c>
      <c r="G618" s="2">
        <v>50</v>
      </c>
      <c r="H618" t="s">
        <v>16</v>
      </c>
      <c r="I618" t="s">
        <v>13</v>
      </c>
      <c r="J618" t="s">
        <v>14</v>
      </c>
    </row>
    <row r="619" spans="1:10" x14ac:dyDescent="0.35">
      <c r="A619">
        <v>618</v>
      </c>
      <c r="B619" s="1">
        <v>44659</v>
      </c>
      <c r="C619" t="s">
        <v>25</v>
      </c>
      <c r="D619" t="s">
        <v>11</v>
      </c>
      <c r="E619" s="2">
        <v>50</v>
      </c>
      <c r="F619">
        <v>1</v>
      </c>
      <c r="G619" s="2">
        <v>50</v>
      </c>
      <c r="H619" t="s">
        <v>20</v>
      </c>
      <c r="I619" t="s">
        <v>13</v>
      </c>
      <c r="J619" t="s">
        <v>21</v>
      </c>
    </row>
    <row r="620" spans="1:10" x14ac:dyDescent="0.35">
      <c r="A620">
        <v>619</v>
      </c>
      <c r="B620" s="1">
        <v>44813</v>
      </c>
      <c r="C620" t="s">
        <v>18</v>
      </c>
      <c r="D620" t="s">
        <v>19</v>
      </c>
      <c r="E620" s="2">
        <v>25</v>
      </c>
      <c r="F620">
        <v>4</v>
      </c>
      <c r="G620" s="2">
        <v>100</v>
      </c>
      <c r="H620" t="s">
        <v>16</v>
      </c>
      <c r="I620" t="s">
        <v>23</v>
      </c>
      <c r="J620" t="s">
        <v>24</v>
      </c>
    </row>
    <row r="621" spans="1:10" x14ac:dyDescent="0.35">
      <c r="A621">
        <v>620</v>
      </c>
      <c r="B621" s="1">
        <v>44818</v>
      </c>
      <c r="C621" t="s">
        <v>22</v>
      </c>
      <c r="D621" t="s">
        <v>11</v>
      </c>
      <c r="E621" s="2">
        <v>20</v>
      </c>
      <c r="F621">
        <v>12</v>
      </c>
      <c r="G621" s="2">
        <v>240</v>
      </c>
      <c r="H621" t="s">
        <v>20</v>
      </c>
      <c r="I621" t="s">
        <v>23</v>
      </c>
      <c r="J621" t="s">
        <v>21</v>
      </c>
    </row>
    <row r="622" spans="1:10" x14ac:dyDescent="0.35">
      <c r="A622">
        <v>621</v>
      </c>
      <c r="B622" s="1">
        <v>44970</v>
      </c>
      <c r="C622" t="s">
        <v>10</v>
      </c>
      <c r="D622" t="s">
        <v>11</v>
      </c>
      <c r="E622" s="2">
        <v>20</v>
      </c>
      <c r="F622">
        <v>2</v>
      </c>
      <c r="G622" s="2">
        <v>40</v>
      </c>
      <c r="H622" t="s">
        <v>20</v>
      </c>
      <c r="I622" t="s">
        <v>23</v>
      </c>
      <c r="J622" t="s">
        <v>21</v>
      </c>
    </row>
    <row r="623" spans="1:10" x14ac:dyDescent="0.35">
      <c r="A623">
        <v>622</v>
      </c>
      <c r="B623" s="1">
        <v>44909</v>
      </c>
      <c r="C623" t="s">
        <v>22</v>
      </c>
      <c r="D623" t="s">
        <v>11</v>
      </c>
      <c r="E623" s="2">
        <v>20</v>
      </c>
      <c r="F623">
        <v>13</v>
      </c>
      <c r="G623" s="2">
        <v>260</v>
      </c>
      <c r="H623" t="s">
        <v>20</v>
      </c>
      <c r="I623" t="s">
        <v>13</v>
      </c>
      <c r="J623" t="s">
        <v>17</v>
      </c>
    </row>
    <row r="624" spans="1:10" x14ac:dyDescent="0.35">
      <c r="A624">
        <v>623</v>
      </c>
      <c r="B624" s="1">
        <v>44653</v>
      </c>
      <c r="C624" t="s">
        <v>28</v>
      </c>
      <c r="D624" t="s">
        <v>19</v>
      </c>
      <c r="E624" s="2">
        <v>40</v>
      </c>
      <c r="F624">
        <v>15</v>
      </c>
      <c r="G624" s="2">
        <v>600</v>
      </c>
      <c r="H624" t="s">
        <v>16</v>
      </c>
      <c r="I624" t="s">
        <v>13</v>
      </c>
      <c r="J624" t="s">
        <v>27</v>
      </c>
    </row>
    <row r="625" spans="1:10" x14ac:dyDescent="0.35">
      <c r="A625">
        <v>624</v>
      </c>
      <c r="B625" s="1">
        <v>44993</v>
      </c>
      <c r="C625" t="s">
        <v>26</v>
      </c>
      <c r="D625" t="s">
        <v>11</v>
      </c>
      <c r="E625" s="2">
        <v>60</v>
      </c>
      <c r="F625">
        <v>9</v>
      </c>
      <c r="G625" s="2">
        <v>540</v>
      </c>
      <c r="H625" t="s">
        <v>16</v>
      </c>
      <c r="I625" t="s">
        <v>23</v>
      </c>
      <c r="J625" t="s">
        <v>24</v>
      </c>
    </row>
    <row r="626" spans="1:10" x14ac:dyDescent="0.35">
      <c r="A626">
        <v>625</v>
      </c>
      <c r="B626" s="1">
        <v>44729</v>
      </c>
      <c r="C626" t="s">
        <v>26</v>
      </c>
      <c r="D626" t="s">
        <v>11</v>
      </c>
      <c r="E626" s="2">
        <v>60</v>
      </c>
      <c r="F626">
        <v>15</v>
      </c>
      <c r="G626" s="2">
        <v>900</v>
      </c>
      <c r="H626" t="s">
        <v>20</v>
      </c>
      <c r="I626" t="s">
        <v>13</v>
      </c>
      <c r="J626" t="s">
        <v>24</v>
      </c>
    </row>
    <row r="627" spans="1:10" x14ac:dyDescent="0.35">
      <c r="A627">
        <v>626</v>
      </c>
      <c r="B627" s="1">
        <v>44958</v>
      </c>
      <c r="C627" t="s">
        <v>28</v>
      </c>
      <c r="D627" t="s">
        <v>19</v>
      </c>
      <c r="E627" s="2">
        <v>40</v>
      </c>
      <c r="F627">
        <v>15</v>
      </c>
      <c r="G627" s="2">
        <v>600</v>
      </c>
      <c r="H627" t="s">
        <v>16</v>
      </c>
      <c r="I627" t="s">
        <v>13</v>
      </c>
      <c r="J627" t="s">
        <v>14</v>
      </c>
    </row>
    <row r="628" spans="1:10" x14ac:dyDescent="0.35">
      <c r="A628">
        <v>627</v>
      </c>
      <c r="B628" s="1">
        <v>44734</v>
      </c>
      <c r="C628" t="s">
        <v>18</v>
      </c>
      <c r="D628" t="s">
        <v>19</v>
      </c>
      <c r="E628" s="2">
        <v>25</v>
      </c>
      <c r="F628">
        <v>15</v>
      </c>
      <c r="G628" s="2">
        <v>375</v>
      </c>
      <c r="H628" t="s">
        <v>20</v>
      </c>
      <c r="I628" t="s">
        <v>13</v>
      </c>
      <c r="J628" t="s">
        <v>17</v>
      </c>
    </row>
    <row r="629" spans="1:10" x14ac:dyDescent="0.35">
      <c r="A629">
        <v>628</v>
      </c>
      <c r="B629" s="1">
        <v>44683</v>
      </c>
      <c r="C629" t="s">
        <v>28</v>
      </c>
      <c r="D629" t="s">
        <v>19</v>
      </c>
      <c r="E629" s="2">
        <v>40</v>
      </c>
      <c r="F629">
        <v>10</v>
      </c>
      <c r="G629" s="2">
        <v>400</v>
      </c>
      <c r="H629" t="s">
        <v>12</v>
      </c>
      <c r="I629" t="s">
        <v>23</v>
      </c>
      <c r="J629" t="s">
        <v>14</v>
      </c>
    </row>
    <row r="630" spans="1:10" x14ac:dyDescent="0.35">
      <c r="A630">
        <v>629</v>
      </c>
      <c r="B630" s="1">
        <v>44946</v>
      </c>
      <c r="C630" t="s">
        <v>18</v>
      </c>
      <c r="D630" t="s">
        <v>19</v>
      </c>
      <c r="E630" s="2">
        <v>25</v>
      </c>
      <c r="F630">
        <v>9</v>
      </c>
      <c r="G630" s="2">
        <v>225</v>
      </c>
      <c r="H630" t="s">
        <v>16</v>
      </c>
      <c r="I630" t="s">
        <v>23</v>
      </c>
      <c r="J630" t="s">
        <v>21</v>
      </c>
    </row>
    <row r="631" spans="1:10" x14ac:dyDescent="0.35">
      <c r="A631">
        <v>630</v>
      </c>
      <c r="B631" s="1">
        <v>44708</v>
      </c>
      <c r="C631" t="s">
        <v>25</v>
      </c>
      <c r="D631" t="s">
        <v>11</v>
      </c>
      <c r="E631" s="2">
        <v>50</v>
      </c>
      <c r="F631">
        <v>7</v>
      </c>
      <c r="G631" s="2">
        <v>350</v>
      </c>
      <c r="H631" t="s">
        <v>12</v>
      </c>
      <c r="I631" t="s">
        <v>23</v>
      </c>
      <c r="J631" t="s">
        <v>24</v>
      </c>
    </row>
    <row r="632" spans="1:10" x14ac:dyDescent="0.35">
      <c r="A632">
        <v>631</v>
      </c>
      <c r="B632" s="1">
        <v>44743</v>
      </c>
      <c r="C632" t="s">
        <v>28</v>
      </c>
      <c r="D632" t="s">
        <v>19</v>
      </c>
      <c r="E632" s="2">
        <v>40</v>
      </c>
      <c r="F632">
        <v>13</v>
      </c>
      <c r="G632" s="2">
        <v>520</v>
      </c>
      <c r="H632" t="s">
        <v>16</v>
      </c>
      <c r="I632" t="s">
        <v>23</v>
      </c>
      <c r="J632" t="s">
        <v>21</v>
      </c>
    </row>
    <row r="633" spans="1:10" x14ac:dyDescent="0.35">
      <c r="A633">
        <v>632</v>
      </c>
      <c r="B633" s="1">
        <v>44862</v>
      </c>
      <c r="C633" t="s">
        <v>22</v>
      </c>
      <c r="D633" t="s">
        <v>11</v>
      </c>
      <c r="E633" s="2">
        <v>20</v>
      </c>
      <c r="F633">
        <v>9</v>
      </c>
      <c r="G633" s="2">
        <v>180</v>
      </c>
      <c r="H633" t="s">
        <v>20</v>
      </c>
      <c r="I633" t="s">
        <v>23</v>
      </c>
      <c r="J633" t="s">
        <v>14</v>
      </c>
    </row>
    <row r="634" spans="1:10" x14ac:dyDescent="0.35">
      <c r="A634">
        <v>633</v>
      </c>
      <c r="B634" s="1">
        <v>44705</v>
      </c>
      <c r="C634" t="s">
        <v>28</v>
      </c>
      <c r="D634" t="s">
        <v>19</v>
      </c>
      <c r="E634" s="2">
        <v>40</v>
      </c>
      <c r="F634">
        <v>3</v>
      </c>
      <c r="G634" s="2">
        <v>120</v>
      </c>
      <c r="H634" t="s">
        <v>20</v>
      </c>
      <c r="I634" t="s">
        <v>13</v>
      </c>
      <c r="J634" t="s">
        <v>21</v>
      </c>
    </row>
    <row r="635" spans="1:10" x14ac:dyDescent="0.35">
      <c r="A635">
        <v>634</v>
      </c>
      <c r="B635" s="1">
        <v>44768</v>
      </c>
      <c r="C635" t="s">
        <v>22</v>
      </c>
      <c r="D635" t="s">
        <v>11</v>
      </c>
      <c r="E635" s="2">
        <v>20</v>
      </c>
      <c r="F635">
        <v>13</v>
      </c>
      <c r="G635" s="2">
        <v>260</v>
      </c>
      <c r="H635" t="s">
        <v>16</v>
      </c>
      <c r="I635" t="s">
        <v>13</v>
      </c>
      <c r="J635" t="s">
        <v>17</v>
      </c>
    </row>
    <row r="636" spans="1:10" x14ac:dyDescent="0.35">
      <c r="A636">
        <v>635</v>
      </c>
      <c r="B636" s="1">
        <v>44963</v>
      </c>
      <c r="C636" t="s">
        <v>15</v>
      </c>
      <c r="D636" t="s">
        <v>11</v>
      </c>
      <c r="E636" s="2">
        <v>20</v>
      </c>
      <c r="F636">
        <v>15</v>
      </c>
      <c r="G636" s="2">
        <v>300</v>
      </c>
      <c r="H636" t="s">
        <v>20</v>
      </c>
      <c r="I636" t="s">
        <v>23</v>
      </c>
      <c r="J636" t="s">
        <v>14</v>
      </c>
    </row>
    <row r="637" spans="1:10" x14ac:dyDescent="0.35">
      <c r="A637">
        <v>636</v>
      </c>
      <c r="B637" s="1">
        <v>44677</v>
      </c>
      <c r="C637" t="s">
        <v>28</v>
      </c>
      <c r="D637" t="s">
        <v>19</v>
      </c>
      <c r="E637" s="2">
        <v>40</v>
      </c>
      <c r="F637">
        <v>12</v>
      </c>
      <c r="G637" s="2">
        <v>480</v>
      </c>
      <c r="H637" t="s">
        <v>12</v>
      </c>
      <c r="I637" t="s">
        <v>13</v>
      </c>
      <c r="J637" t="s">
        <v>24</v>
      </c>
    </row>
    <row r="638" spans="1:10" x14ac:dyDescent="0.35">
      <c r="A638">
        <v>637</v>
      </c>
      <c r="B638" s="1">
        <v>44695</v>
      </c>
      <c r="C638" t="s">
        <v>10</v>
      </c>
      <c r="D638" t="s">
        <v>11</v>
      </c>
      <c r="E638" s="2">
        <v>20</v>
      </c>
      <c r="F638">
        <v>7</v>
      </c>
      <c r="G638" s="2">
        <v>140</v>
      </c>
      <c r="H638" t="s">
        <v>16</v>
      </c>
      <c r="I638" t="s">
        <v>13</v>
      </c>
      <c r="J638" t="s">
        <v>27</v>
      </c>
    </row>
    <row r="639" spans="1:10" x14ac:dyDescent="0.35">
      <c r="A639">
        <v>638</v>
      </c>
      <c r="B639" s="1">
        <v>44793</v>
      </c>
      <c r="C639" t="s">
        <v>28</v>
      </c>
      <c r="D639" t="s">
        <v>19</v>
      </c>
      <c r="E639" s="2">
        <v>40</v>
      </c>
      <c r="F639">
        <v>11</v>
      </c>
      <c r="G639" s="2">
        <v>440</v>
      </c>
      <c r="H639" t="s">
        <v>20</v>
      </c>
      <c r="I639" t="s">
        <v>23</v>
      </c>
      <c r="J639" t="s">
        <v>17</v>
      </c>
    </row>
    <row r="640" spans="1:10" x14ac:dyDescent="0.35">
      <c r="A640">
        <v>639</v>
      </c>
      <c r="B640" s="1">
        <v>44952</v>
      </c>
      <c r="C640" t="s">
        <v>15</v>
      </c>
      <c r="D640" t="s">
        <v>11</v>
      </c>
      <c r="E640" s="2">
        <v>20</v>
      </c>
      <c r="F640">
        <v>14</v>
      </c>
      <c r="G640" s="2">
        <v>280</v>
      </c>
      <c r="H640" t="s">
        <v>16</v>
      </c>
      <c r="I640" t="s">
        <v>23</v>
      </c>
      <c r="J640" t="s">
        <v>24</v>
      </c>
    </row>
    <row r="641" spans="1:10" x14ac:dyDescent="0.35">
      <c r="A641">
        <v>640</v>
      </c>
      <c r="B641" s="1">
        <v>44930</v>
      </c>
      <c r="C641" t="s">
        <v>26</v>
      </c>
      <c r="D641" t="s">
        <v>11</v>
      </c>
      <c r="E641" s="2">
        <v>60</v>
      </c>
      <c r="F641">
        <v>15</v>
      </c>
      <c r="G641" s="2">
        <v>900</v>
      </c>
      <c r="H641" t="s">
        <v>20</v>
      </c>
      <c r="I641" t="s">
        <v>13</v>
      </c>
      <c r="J641" t="s">
        <v>14</v>
      </c>
    </row>
    <row r="642" spans="1:10" x14ac:dyDescent="0.35">
      <c r="A642">
        <v>641</v>
      </c>
      <c r="B642" s="1">
        <v>44966</v>
      </c>
      <c r="C642" t="s">
        <v>15</v>
      </c>
      <c r="D642" t="s">
        <v>11</v>
      </c>
      <c r="E642" s="2">
        <v>20</v>
      </c>
      <c r="F642">
        <v>15</v>
      </c>
      <c r="G642" s="2">
        <v>300</v>
      </c>
      <c r="H642" t="s">
        <v>16</v>
      </c>
      <c r="I642" t="s">
        <v>13</v>
      </c>
      <c r="J642" t="s">
        <v>17</v>
      </c>
    </row>
    <row r="643" spans="1:10" x14ac:dyDescent="0.35">
      <c r="A643">
        <v>642</v>
      </c>
      <c r="B643" s="1">
        <v>44690</v>
      </c>
      <c r="C643" t="s">
        <v>28</v>
      </c>
      <c r="D643" t="s">
        <v>19</v>
      </c>
      <c r="E643" s="2">
        <v>40</v>
      </c>
      <c r="F643">
        <v>10</v>
      </c>
      <c r="G643" s="2">
        <v>400</v>
      </c>
      <c r="H643" t="s">
        <v>20</v>
      </c>
      <c r="I643" t="s">
        <v>23</v>
      </c>
      <c r="J643" t="s">
        <v>24</v>
      </c>
    </row>
    <row r="644" spans="1:10" x14ac:dyDescent="0.35">
      <c r="A644">
        <v>643</v>
      </c>
      <c r="B644" s="1">
        <v>44854</v>
      </c>
      <c r="C644" t="s">
        <v>18</v>
      </c>
      <c r="D644" t="s">
        <v>19</v>
      </c>
      <c r="E644" s="2">
        <v>25</v>
      </c>
      <c r="F644">
        <v>2</v>
      </c>
      <c r="G644" s="2">
        <v>50</v>
      </c>
      <c r="H644" t="s">
        <v>16</v>
      </c>
      <c r="I644" t="s">
        <v>13</v>
      </c>
      <c r="J644" t="s">
        <v>17</v>
      </c>
    </row>
    <row r="645" spans="1:10" x14ac:dyDescent="0.35">
      <c r="A645">
        <v>644</v>
      </c>
      <c r="B645" s="1">
        <v>44960</v>
      </c>
      <c r="C645" t="s">
        <v>22</v>
      </c>
      <c r="D645" t="s">
        <v>11</v>
      </c>
      <c r="E645" s="2">
        <v>20</v>
      </c>
      <c r="F645">
        <v>5</v>
      </c>
      <c r="G645" s="2">
        <v>100</v>
      </c>
      <c r="H645" t="s">
        <v>20</v>
      </c>
      <c r="I645" t="s">
        <v>23</v>
      </c>
      <c r="J645" t="s">
        <v>21</v>
      </c>
    </row>
    <row r="646" spans="1:10" x14ac:dyDescent="0.35">
      <c r="A646">
        <v>645</v>
      </c>
      <c r="B646" s="1">
        <v>44768</v>
      </c>
      <c r="C646" t="s">
        <v>26</v>
      </c>
      <c r="D646" t="s">
        <v>11</v>
      </c>
      <c r="E646" s="2">
        <v>60</v>
      </c>
      <c r="F646">
        <v>9</v>
      </c>
      <c r="G646" s="2">
        <v>540</v>
      </c>
      <c r="H646" t="s">
        <v>16</v>
      </c>
      <c r="I646" t="s">
        <v>23</v>
      </c>
      <c r="J646" t="s">
        <v>14</v>
      </c>
    </row>
    <row r="647" spans="1:10" x14ac:dyDescent="0.35">
      <c r="A647">
        <v>646</v>
      </c>
      <c r="B647" s="1">
        <v>44803</v>
      </c>
      <c r="C647" t="s">
        <v>15</v>
      </c>
      <c r="D647" t="s">
        <v>11</v>
      </c>
      <c r="E647" s="2">
        <v>20</v>
      </c>
      <c r="F647">
        <v>14</v>
      </c>
      <c r="G647" s="2">
        <v>280</v>
      </c>
      <c r="H647" t="s">
        <v>20</v>
      </c>
      <c r="I647" t="s">
        <v>23</v>
      </c>
      <c r="J647" t="s">
        <v>17</v>
      </c>
    </row>
    <row r="648" spans="1:10" x14ac:dyDescent="0.35">
      <c r="A648">
        <v>647</v>
      </c>
      <c r="B648" s="1">
        <v>44717</v>
      </c>
      <c r="C648" t="s">
        <v>15</v>
      </c>
      <c r="D648" t="s">
        <v>11</v>
      </c>
      <c r="E648" s="2">
        <v>20</v>
      </c>
      <c r="F648">
        <v>3</v>
      </c>
      <c r="G648" s="2">
        <v>60</v>
      </c>
      <c r="H648" t="s">
        <v>16</v>
      </c>
      <c r="I648" t="s">
        <v>13</v>
      </c>
      <c r="J648" t="s">
        <v>17</v>
      </c>
    </row>
    <row r="649" spans="1:10" x14ac:dyDescent="0.35">
      <c r="A649">
        <v>648</v>
      </c>
      <c r="B649" s="1">
        <v>44708</v>
      </c>
      <c r="C649" t="s">
        <v>26</v>
      </c>
      <c r="D649" t="s">
        <v>11</v>
      </c>
      <c r="E649" s="2">
        <v>60</v>
      </c>
      <c r="F649">
        <v>7</v>
      </c>
      <c r="G649" s="2">
        <v>420</v>
      </c>
      <c r="H649" t="s">
        <v>16</v>
      </c>
      <c r="I649" t="s">
        <v>13</v>
      </c>
      <c r="J649" t="s">
        <v>14</v>
      </c>
    </row>
    <row r="650" spans="1:10" x14ac:dyDescent="0.35">
      <c r="A650">
        <v>649</v>
      </c>
      <c r="B650" s="1">
        <v>44870</v>
      </c>
      <c r="C650" t="s">
        <v>25</v>
      </c>
      <c r="D650" t="s">
        <v>11</v>
      </c>
      <c r="E650" s="2">
        <v>50</v>
      </c>
      <c r="F650">
        <v>9</v>
      </c>
      <c r="G650" s="2">
        <v>450</v>
      </c>
      <c r="H650" t="s">
        <v>16</v>
      </c>
      <c r="I650" t="s">
        <v>13</v>
      </c>
      <c r="J650" t="s">
        <v>27</v>
      </c>
    </row>
    <row r="651" spans="1:10" x14ac:dyDescent="0.35">
      <c r="A651">
        <v>650</v>
      </c>
      <c r="B651" s="1">
        <v>44658</v>
      </c>
      <c r="C651" t="s">
        <v>26</v>
      </c>
      <c r="D651" t="s">
        <v>11</v>
      </c>
      <c r="E651" s="2">
        <v>60</v>
      </c>
      <c r="F651">
        <v>13</v>
      </c>
      <c r="G651" s="2">
        <v>780</v>
      </c>
      <c r="H651" t="s">
        <v>20</v>
      </c>
      <c r="I651" t="s">
        <v>23</v>
      </c>
      <c r="J651" t="s">
        <v>24</v>
      </c>
    </row>
    <row r="652" spans="1:10" x14ac:dyDescent="0.35">
      <c r="A652">
        <v>651</v>
      </c>
      <c r="B652" s="1">
        <v>44753</v>
      </c>
      <c r="C652" t="s">
        <v>26</v>
      </c>
      <c r="D652" t="s">
        <v>11</v>
      </c>
      <c r="E652" s="2">
        <v>60</v>
      </c>
      <c r="F652">
        <v>10</v>
      </c>
      <c r="G652" s="2">
        <v>600</v>
      </c>
      <c r="H652" t="s">
        <v>20</v>
      </c>
      <c r="I652" t="s">
        <v>23</v>
      </c>
      <c r="J652" t="s">
        <v>27</v>
      </c>
    </row>
    <row r="653" spans="1:10" x14ac:dyDescent="0.35">
      <c r="A653">
        <v>652</v>
      </c>
      <c r="B653" s="1">
        <v>44702</v>
      </c>
      <c r="C653" t="s">
        <v>28</v>
      </c>
      <c r="D653" t="s">
        <v>19</v>
      </c>
      <c r="E653" s="2">
        <v>40</v>
      </c>
      <c r="F653">
        <v>13</v>
      </c>
      <c r="G653" s="2">
        <v>520</v>
      </c>
      <c r="H653" t="s">
        <v>20</v>
      </c>
      <c r="I653" t="s">
        <v>23</v>
      </c>
      <c r="J653" t="s">
        <v>17</v>
      </c>
    </row>
    <row r="654" spans="1:10" x14ac:dyDescent="0.35">
      <c r="A654">
        <v>653</v>
      </c>
      <c r="B654" s="1">
        <v>44711</v>
      </c>
      <c r="C654" t="s">
        <v>25</v>
      </c>
      <c r="D654" t="s">
        <v>11</v>
      </c>
      <c r="E654" s="2">
        <v>50</v>
      </c>
      <c r="F654">
        <v>10</v>
      </c>
      <c r="G654" s="2">
        <v>500</v>
      </c>
      <c r="H654" t="s">
        <v>20</v>
      </c>
      <c r="I654" t="s">
        <v>23</v>
      </c>
      <c r="J654" t="s">
        <v>27</v>
      </c>
    </row>
    <row r="655" spans="1:10" x14ac:dyDescent="0.35">
      <c r="A655">
        <v>654</v>
      </c>
      <c r="B655" s="1">
        <v>44989</v>
      </c>
      <c r="C655" t="s">
        <v>15</v>
      </c>
      <c r="D655" t="s">
        <v>11</v>
      </c>
      <c r="E655" s="2">
        <v>20</v>
      </c>
      <c r="F655">
        <v>9</v>
      </c>
      <c r="G655" s="2">
        <v>180</v>
      </c>
      <c r="H655" t="s">
        <v>16</v>
      </c>
      <c r="I655" t="s">
        <v>23</v>
      </c>
      <c r="J655" t="s">
        <v>24</v>
      </c>
    </row>
    <row r="656" spans="1:10" x14ac:dyDescent="0.35">
      <c r="A656">
        <v>655</v>
      </c>
      <c r="B656" s="1">
        <v>44742</v>
      </c>
      <c r="C656" t="s">
        <v>18</v>
      </c>
      <c r="D656" t="s">
        <v>19</v>
      </c>
      <c r="E656" s="2">
        <v>25</v>
      </c>
      <c r="F656">
        <v>12</v>
      </c>
      <c r="G656" s="2">
        <v>300</v>
      </c>
      <c r="H656" t="s">
        <v>20</v>
      </c>
      <c r="I656" t="s">
        <v>13</v>
      </c>
      <c r="J656" t="s">
        <v>24</v>
      </c>
    </row>
    <row r="657" spans="1:10" x14ac:dyDescent="0.35">
      <c r="A657">
        <v>656</v>
      </c>
      <c r="B657" s="1">
        <v>44893</v>
      </c>
      <c r="C657" t="s">
        <v>26</v>
      </c>
      <c r="D657" t="s">
        <v>11</v>
      </c>
      <c r="E657" s="2">
        <v>60</v>
      </c>
      <c r="F657">
        <v>6</v>
      </c>
      <c r="G657" s="2">
        <v>360</v>
      </c>
      <c r="H657" t="s">
        <v>20</v>
      </c>
      <c r="I657" t="s">
        <v>23</v>
      </c>
      <c r="J657" t="s">
        <v>27</v>
      </c>
    </row>
    <row r="658" spans="1:10" x14ac:dyDescent="0.35">
      <c r="A658">
        <v>657</v>
      </c>
      <c r="B658" s="1">
        <v>44936</v>
      </c>
      <c r="C658" t="s">
        <v>28</v>
      </c>
      <c r="D658" t="s">
        <v>19</v>
      </c>
      <c r="E658" s="2">
        <v>40</v>
      </c>
      <c r="F658">
        <v>7</v>
      </c>
      <c r="G658" s="2">
        <v>280</v>
      </c>
      <c r="H658" t="s">
        <v>12</v>
      </c>
      <c r="I658" t="s">
        <v>13</v>
      </c>
      <c r="J658" t="s">
        <v>27</v>
      </c>
    </row>
    <row r="659" spans="1:10" x14ac:dyDescent="0.35">
      <c r="A659">
        <v>658</v>
      </c>
      <c r="B659" s="1">
        <v>44844</v>
      </c>
      <c r="C659" t="s">
        <v>10</v>
      </c>
      <c r="D659" t="s">
        <v>11</v>
      </c>
      <c r="E659" s="2">
        <v>20</v>
      </c>
      <c r="F659">
        <v>12</v>
      </c>
      <c r="G659" s="2">
        <v>240</v>
      </c>
      <c r="H659" t="s">
        <v>12</v>
      </c>
      <c r="I659" t="s">
        <v>23</v>
      </c>
      <c r="J659" t="s">
        <v>17</v>
      </c>
    </row>
    <row r="660" spans="1:10" x14ac:dyDescent="0.35">
      <c r="A660">
        <v>659</v>
      </c>
      <c r="B660" s="1">
        <v>44947</v>
      </c>
      <c r="C660" t="s">
        <v>22</v>
      </c>
      <c r="D660" t="s">
        <v>11</v>
      </c>
      <c r="E660" s="2">
        <v>20</v>
      </c>
      <c r="F660">
        <v>2</v>
      </c>
      <c r="G660" s="2">
        <v>40</v>
      </c>
      <c r="H660" t="s">
        <v>20</v>
      </c>
      <c r="I660" t="s">
        <v>13</v>
      </c>
      <c r="J660" t="s">
        <v>17</v>
      </c>
    </row>
    <row r="661" spans="1:10" x14ac:dyDescent="0.35">
      <c r="A661">
        <v>660</v>
      </c>
      <c r="B661" s="1">
        <v>44767</v>
      </c>
      <c r="C661" t="s">
        <v>26</v>
      </c>
      <c r="D661" t="s">
        <v>11</v>
      </c>
      <c r="E661" s="2">
        <v>60</v>
      </c>
      <c r="F661">
        <v>9</v>
      </c>
      <c r="G661" s="2">
        <v>540</v>
      </c>
      <c r="H661" t="s">
        <v>16</v>
      </c>
      <c r="I661" t="s">
        <v>23</v>
      </c>
      <c r="J661" t="s">
        <v>14</v>
      </c>
    </row>
    <row r="662" spans="1:10" x14ac:dyDescent="0.35">
      <c r="A662">
        <v>661</v>
      </c>
      <c r="B662" s="1">
        <v>44845</v>
      </c>
      <c r="C662" t="s">
        <v>25</v>
      </c>
      <c r="D662" t="s">
        <v>11</v>
      </c>
      <c r="E662" s="2">
        <v>50</v>
      </c>
      <c r="F662">
        <v>7</v>
      </c>
      <c r="G662" s="2">
        <v>350</v>
      </c>
      <c r="H662" t="s">
        <v>20</v>
      </c>
      <c r="I662" t="s">
        <v>23</v>
      </c>
      <c r="J662" t="s">
        <v>27</v>
      </c>
    </row>
    <row r="663" spans="1:10" x14ac:dyDescent="0.35">
      <c r="A663">
        <v>662</v>
      </c>
      <c r="B663" s="1">
        <v>44972</v>
      </c>
      <c r="C663" t="s">
        <v>22</v>
      </c>
      <c r="D663" t="s">
        <v>11</v>
      </c>
      <c r="E663" s="2">
        <v>20</v>
      </c>
      <c r="F663">
        <v>3</v>
      </c>
      <c r="G663" s="2">
        <v>60</v>
      </c>
      <c r="H663" t="s">
        <v>20</v>
      </c>
      <c r="I663" t="s">
        <v>23</v>
      </c>
      <c r="J663" t="s">
        <v>17</v>
      </c>
    </row>
    <row r="664" spans="1:10" x14ac:dyDescent="0.35">
      <c r="A664">
        <v>663</v>
      </c>
      <c r="B664" s="1">
        <v>44962</v>
      </c>
      <c r="C664" t="s">
        <v>18</v>
      </c>
      <c r="D664" t="s">
        <v>19</v>
      </c>
      <c r="E664" s="2">
        <v>25</v>
      </c>
      <c r="F664">
        <v>1</v>
      </c>
      <c r="G664" s="2">
        <v>25</v>
      </c>
      <c r="H664" t="s">
        <v>20</v>
      </c>
      <c r="I664" t="s">
        <v>13</v>
      </c>
      <c r="J664" t="s">
        <v>14</v>
      </c>
    </row>
    <row r="665" spans="1:10" x14ac:dyDescent="0.35">
      <c r="A665">
        <v>664</v>
      </c>
      <c r="B665" s="1">
        <v>44865</v>
      </c>
      <c r="C665" t="s">
        <v>25</v>
      </c>
      <c r="D665" t="s">
        <v>11</v>
      </c>
      <c r="E665" s="2">
        <v>50</v>
      </c>
      <c r="F665">
        <v>10</v>
      </c>
      <c r="G665" s="2">
        <v>500</v>
      </c>
      <c r="H665" t="s">
        <v>20</v>
      </c>
      <c r="I665" t="s">
        <v>23</v>
      </c>
      <c r="J665" t="s">
        <v>24</v>
      </c>
    </row>
    <row r="666" spans="1:10" x14ac:dyDescent="0.35">
      <c r="A666">
        <v>665</v>
      </c>
      <c r="B666" s="1">
        <v>44687</v>
      </c>
      <c r="C666" t="s">
        <v>10</v>
      </c>
      <c r="D666" t="s">
        <v>11</v>
      </c>
      <c r="E666" s="2">
        <v>20</v>
      </c>
      <c r="F666">
        <v>14</v>
      </c>
      <c r="G666" s="2">
        <v>280</v>
      </c>
      <c r="H666" t="s">
        <v>20</v>
      </c>
      <c r="I666" t="s">
        <v>23</v>
      </c>
      <c r="J666" t="s">
        <v>21</v>
      </c>
    </row>
    <row r="667" spans="1:10" x14ac:dyDescent="0.35">
      <c r="A667">
        <v>666</v>
      </c>
      <c r="B667" s="1">
        <v>44951</v>
      </c>
      <c r="C667" t="s">
        <v>22</v>
      </c>
      <c r="D667" t="s">
        <v>11</v>
      </c>
      <c r="E667" s="2">
        <v>20</v>
      </c>
      <c r="F667">
        <v>9</v>
      </c>
      <c r="G667" s="2">
        <v>180</v>
      </c>
      <c r="H667" t="s">
        <v>16</v>
      </c>
      <c r="I667" t="s">
        <v>13</v>
      </c>
      <c r="J667" t="s">
        <v>21</v>
      </c>
    </row>
    <row r="668" spans="1:10" x14ac:dyDescent="0.35">
      <c r="A668">
        <v>667</v>
      </c>
      <c r="B668" s="1">
        <v>44832</v>
      </c>
      <c r="C668" t="s">
        <v>15</v>
      </c>
      <c r="D668" t="s">
        <v>11</v>
      </c>
      <c r="E668" s="2">
        <v>20</v>
      </c>
      <c r="F668">
        <v>3</v>
      </c>
      <c r="G668" s="2">
        <v>60</v>
      </c>
      <c r="H668" t="s">
        <v>16</v>
      </c>
      <c r="I668" t="s">
        <v>23</v>
      </c>
      <c r="J668" t="s">
        <v>21</v>
      </c>
    </row>
    <row r="669" spans="1:10" x14ac:dyDescent="0.35">
      <c r="A669">
        <v>668</v>
      </c>
      <c r="B669" s="1">
        <v>44692</v>
      </c>
      <c r="C669" t="s">
        <v>10</v>
      </c>
      <c r="D669" t="s">
        <v>11</v>
      </c>
      <c r="E669" s="2">
        <v>20</v>
      </c>
      <c r="F669">
        <v>4</v>
      </c>
      <c r="G669" s="2">
        <v>80</v>
      </c>
      <c r="H669" t="s">
        <v>20</v>
      </c>
      <c r="I669" t="s">
        <v>13</v>
      </c>
      <c r="J669" t="s">
        <v>24</v>
      </c>
    </row>
    <row r="670" spans="1:10" x14ac:dyDescent="0.35">
      <c r="A670">
        <v>669</v>
      </c>
      <c r="B670" s="1">
        <v>45003</v>
      </c>
      <c r="C670" t="s">
        <v>26</v>
      </c>
      <c r="D670" t="s">
        <v>11</v>
      </c>
      <c r="E670" s="2">
        <v>60</v>
      </c>
      <c r="F670">
        <v>11</v>
      </c>
      <c r="G670" s="2">
        <v>660</v>
      </c>
      <c r="H670" t="s">
        <v>20</v>
      </c>
      <c r="I670" t="s">
        <v>13</v>
      </c>
      <c r="J670" t="s">
        <v>21</v>
      </c>
    </row>
    <row r="671" spans="1:10" x14ac:dyDescent="0.35">
      <c r="A671">
        <v>670</v>
      </c>
      <c r="B671" s="1">
        <v>44747</v>
      </c>
      <c r="C671" t="s">
        <v>22</v>
      </c>
      <c r="D671" t="s">
        <v>11</v>
      </c>
      <c r="E671" s="2">
        <v>20</v>
      </c>
      <c r="F671">
        <v>15</v>
      </c>
      <c r="G671" s="2">
        <v>300</v>
      </c>
      <c r="H671" t="s">
        <v>16</v>
      </c>
      <c r="I671" t="s">
        <v>13</v>
      </c>
      <c r="J671" t="s">
        <v>14</v>
      </c>
    </row>
    <row r="672" spans="1:10" x14ac:dyDescent="0.35">
      <c r="A672">
        <v>671</v>
      </c>
      <c r="B672" s="1">
        <v>44843</v>
      </c>
      <c r="C672" t="s">
        <v>26</v>
      </c>
      <c r="D672" t="s">
        <v>11</v>
      </c>
      <c r="E672" s="2">
        <v>60</v>
      </c>
      <c r="F672">
        <v>2</v>
      </c>
      <c r="G672" s="2">
        <v>120</v>
      </c>
      <c r="H672" t="s">
        <v>20</v>
      </c>
      <c r="I672" t="s">
        <v>13</v>
      </c>
      <c r="J672" t="s">
        <v>17</v>
      </c>
    </row>
    <row r="673" spans="1:10" x14ac:dyDescent="0.35">
      <c r="A673">
        <v>672</v>
      </c>
      <c r="B673" s="1">
        <v>44889</v>
      </c>
      <c r="C673" t="s">
        <v>28</v>
      </c>
      <c r="D673" t="s">
        <v>19</v>
      </c>
      <c r="E673" s="2">
        <v>40</v>
      </c>
      <c r="F673">
        <v>3</v>
      </c>
      <c r="G673" s="2">
        <v>120</v>
      </c>
      <c r="H673" t="s">
        <v>12</v>
      </c>
      <c r="I673" t="s">
        <v>23</v>
      </c>
      <c r="J673" t="s">
        <v>21</v>
      </c>
    </row>
    <row r="674" spans="1:10" x14ac:dyDescent="0.35">
      <c r="A674">
        <v>673</v>
      </c>
      <c r="B674" s="1">
        <v>44821</v>
      </c>
      <c r="C674" t="s">
        <v>26</v>
      </c>
      <c r="D674" t="s">
        <v>11</v>
      </c>
      <c r="E674" s="2">
        <v>60</v>
      </c>
      <c r="F674">
        <v>12</v>
      </c>
      <c r="G674" s="2">
        <v>720</v>
      </c>
      <c r="H674" t="s">
        <v>16</v>
      </c>
      <c r="I674" t="s">
        <v>13</v>
      </c>
      <c r="J674" t="s">
        <v>27</v>
      </c>
    </row>
    <row r="675" spans="1:10" x14ac:dyDescent="0.35">
      <c r="A675">
        <v>674</v>
      </c>
      <c r="B675" s="1">
        <v>44759</v>
      </c>
      <c r="C675" t="s">
        <v>18</v>
      </c>
      <c r="D675" t="s">
        <v>19</v>
      </c>
      <c r="E675" s="2">
        <v>25</v>
      </c>
      <c r="F675">
        <v>13</v>
      </c>
      <c r="G675" s="2">
        <v>325</v>
      </c>
      <c r="H675" t="s">
        <v>12</v>
      </c>
      <c r="I675" t="s">
        <v>13</v>
      </c>
      <c r="J675" t="s">
        <v>24</v>
      </c>
    </row>
    <row r="676" spans="1:10" x14ac:dyDescent="0.35">
      <c r="A676">
        <v>675</v>
      </c>
      <c r="B676" s="1">
        <v>44668</v>
      </c>
      <c r="C676" t="s">
        <v>26</v>
      </c>
      <c r="D676" t="s">
        <v>11</v>
      </c>
      <c r="E676" s="2">
        <v>60</v>
      </c>
      <c r="F676">
        <v>12</v>
      </c>
      <c r="G676" s="2">
        <v>720</v>
      </c>
      <c r="H676" t="s">
        <v>16</v>
      </c>
      <c r="I676" t="s">
        <v>13</v>
      </c>
      <c r="J676" t="s">
        <v>14</v>
      </c>
    </row>
    <row r="677" spans="1:10" x14ac:dyDescent="0.35">
      <c r="A677">
        <v>676</v>
      </c>
      <c r="B677" s="1">
        <v>44685</v>
      </c>
      <c r="C677" t="s">
        <v>25</v>
      </c>
      <c r="D677" t="s">
        <v>11</v>
      </c>
      <c r="E677" s="2">
        <v>50</v>
      </c>
      <c r="F677">
        <v>7</v>
      </c>
      <c r="G677" s="2">
        <v>350</v>
      </c>
      <c r="H677" t="s">
        <v>16</v>
      </c>
      <c r="I677" t="s">
        <v>23</v>
      </c>
      <c r="J677" t="s">
        <v>21</v>
      </c>
    </row>
    <row r="678" spans="1:10" x14ac:dyDescent="0.35">
      <c r="A678">
        <v>677</v>
      </c>
      <c r="B678" s="1">
        <v>44700</v>
      </c>
      <c r="C678" t="s">
        <v>28</v>
      </c>
      <c r="D678" t="s">
        <v>19</v>
      </c>
      <c r="E678" s="2">
        <v>40</v>
      </c>
      <c r="F678">
        <v>3</v>
      </c>
      <c r="G678" s="2">
        <v>120</v>
      </c>
      <c r="H678" t="s">
        <v>20</v>
      </c>
      <c r="I678" t="s">
        <v>23</v>
      </c>
      <c r="J678" t="s">
        <v>24</v>
      </c>
    </row>
    <row r="679" spans="1:10" x14ac:dyDescent="0.35">
      <c r="A679">
        <v>678</v>
      </c>
      <c r="B679" s="1">
        <v>44704</v>
      </c>
      <c r="C679" t="s">
        <v>10</v>
      </c>
      <c r="D679" t="s">
        <v>11</v>
      </c>
      <c r="E679" s="2">
        <v>20</v>
      </c>
      <c r="F679">
        <v>3</v>
      </c>
      <c r="G679" s="2">
        <v>60</v>
      </c>
      <c r="H679" t="s">
        <v>20</v>
      </c>
      <c r="I679" t="s">
        <v>13</v>
      </c>
      <c r="J679" t="s">
        <v>21</v>
      </c>
    </row>
    <row r="680" spans="1:10" x14ac:dyDescent="0.35">
      <c r="A680">
        <v>679</v>
      </c>
      <c r="B680" s="1">
        <v>44867</v>
      </c>
      <c r="C680" t="s">
        <v>26</v>
      </c>
      <c r="D680" t="s">
        <v>11</v>
      </c>
      <c r="E680" s="2">
        <v>60</v>
      </c>
      <c r="F680">
        <v>12</v>
      </c>
      <c r="G680" s="2">
        <v>720</v>
      </c>
      <c r="H680" t="s">
        <v>20</v>
      </c>
      <c r="I680" t="s">
        <v>13</v>
      </c>
      <c r="J680" t="s">
        <v>24</v>
      </c>
    </row>
    <row r="681" spans="1:10" x14ac:dyDescent="0.35">
      <c r="A681">
        <v>680</v>
      </c>
      <c r="B681" s="1">
        <v>44671</v>
      </c>
      <c r="C681" t="s">
        <v>28</v>
      </c>
      <c r="D681" t="s">
        <v>19</v>
      </c>
      <c r="E681" s="2">
        <v>40</v>
      </c>
      <c r="F681">
        <v>4</v>
      </c>
      <c r="G681" s="2">
        <v>160</v>
      </c>
      <c r="H681" t="s">
        <v>16</v>
      </c>
      <c r="I681" t="s">
        <v>13</v>
      </c>
      <c r="J681" t="s">
        <v>14</v>
      </c>
    </row>
    <row r="682" spans="1:10" x14ac:dyDescent="0.35">
      <c r="A682">
        <v>681</v>
      </c>
      <c r="B682" s="1">
        <v>44904</v>
      </c>
      <c r="C682" t="s">
        <v>25</v>
      </c>
      <c r="D682" t="s">
        <v>11</v>
      </c>
      <c r="E682" s="2">
        <v>50</v>
      </c>
      <c r="F682">
        <v>9</v>
      </c>
      <c r="G682" s="2">
        <v>450</v>
      </c>
      <c r="H682" t="s">
        <v>20</v>
      </c>
      <c r="I682" t="s">
        <v>23</v>
      </c>
      <c r="J682" t="s">
        <v>14</v>
      </c>
    </row>
    <row r="683" spans="1:10" x14ac:dyDescent="0.35">
      <c r="A683">
        <v>682</v>
      </c>
      <c r="B683" s="1">
        <v>44845</v>
      </c>
      <c r="C683" t="s">
        <v>10</v>
      </c>
      <c r="D683" t="s">
        <v>11</v>
      </c>
      <c r="E683" s="2">
        <v>20</v>
      </c>
      <c r="F683">
        <v>14</v>
      </c>
      <c r="G683" s="2">
        <v>280</v>
      </c>
      <c r="H683" t="s">
        <v>20</v>
      </c>
      <c r="I683" t="s">
        <v>13</v>
      </c>
      <c r="J683" t="s">
        <v>27</v>
      </c>
    </row>
    <row r="684" spans="1:10" x14ac:dyDescent="0.35">
      <c r="A684">
        <v>683</v>
      </c>
      <c r="B684" s="1">
        <v>44785</v>
      </c>
      <c r="C684" t="s">
        <v>25</v>
      </c>
      <c r="D684" t="s">
        <v>11</v>
      </c>
      <c r="E684" s="2">
        <v>50</v>
      </c>
      <c r="F684">
        <v>15</v>
      </c>
      <c r="G684" s="2">
        <v>750</v>
      </c>
      <c r="H684" t="s">
        <v>16</v>
      </c>
      <c r="I684" t="s">
        <v>13</v>
      </c>
      <c r="J684" t="s">
        <v>27</v>
      </c>
    </row>
    <row r="685" spans="1:10" x14ac:dyDescent="0.35">
      <c r="A685">
        <v>684</v>
      </c>
      <c r="B685" s="1">
        <v>44822</v>
      </c>
      <c r="C685" t="s">
        <v>15</v>
      </c>
      <c r="D685" t="s">
        <v>11</v>
      </c>
      <c r="E685" s="2">
        <v>20</v>
      </c>
      <c r="F685">
        <v>5</v>
      </c>
      <c r="G685" s="2">
        <v>100</v>
      </c>
      <c r="H685" t="s">
        <v>16</v>
      </c>
      <c r="I685" t="s">
        <v>13</v>
      </c>
      <c r="J685" t="s">
        <v>17</v>
      </c>
    </row>
    <row r="686" spans="1:10" x14ac:dyDescent="0.35">
      <c r="A686">
        <v>685</v>
      </c>
      <c r="B686" s="1">
        <v>44701</v>
      </c>
      <c r="C686" t="s">
        <v>10</v>
      </c>
      <c r="D686" t="s">
        <v>11</v>
      </c>
      <c r="E686" s="2">
        <v>20</v>
      </c>
      <c r="F686">
        <v>3</v>
      </c>
      <c r="G686" s="2">
        <v>60</v>
      </c>
      <c r="H686" t="s">
        <v>16</v>
      </c>
      <c r="I686" t="s">
        <v>23</v>
      </c>
      <c r="J686" t="s">
        <v>17</v>
      </c>
    </row>
    <row r="687" spans="1:10" x14ac:dyDescent="0.35">
      <c r="A687">
        <v>686</v>
      </c>
      <c r="B687" s="1">
        <v>44890</v>
      </c>
      <c r="C687" t="s">
        <v>28</v>
      </c>
      <c r="D687" t="s">
        <v>19</v>
      </c>
      <c r="E687" s="2">
        <v>40</v>
      </c>
      <c r="F687">
        <v>5</v>
      </c>
      <c r="G687" s="2">
        <v>200</v>
      </c>
      <c r="H687" t="s">
        <v>16</v>
      </c>
      <c r="I687" t="s">
        <v>13</v>
      </c>
      <c r="J687" t="s">
        <v>17</v>
      </c>
    </row>
    <row r="688" spans="1:10" x14ac:dyDescent="0.35">
      <c r="A688">
        <v>687</v>
      </c>
      <c r="B688" s="1">
        <v>44913</v>
      </c>
      <c r="C688" t="s">
        <v>15</v>
      </c>
      <c r="D688" t="s">
        <v>11</v>
      </c>
      <c r="E688" s="2">
        <v>20</v>
      </c>
      <c r="F688">
        <v>10</v>
      </c>
      <c r="G688" s="2">
        <v>200</v>
      </c>
      <c r="H688" t="s">
        <v>16</v>
      </c>
      <c r="I688" t="s">
        <v>23</v>
      </c>
      <c r="J688" t="s">
        <v>27</v>
      </c>
    </row>
    <row r="689" spans="1:10" x14ac:dyDescent="0.35">
      <c r="A689">
        <v>688</v>
      </c>
      <c r="B689" s="1">
        <v>44695</v>
      </c>
      <c r="C689" t="s">
        <v>25</v>
      </c>
      <c r="D689" t="s">
        <v>11</v>
      </c>
      <c r="E689" s="2">
        <v>50</v>
      </c>
      <c r="F689">
        <v>5</v>
      </c>
      <c r="G689" s="2">
        <v>250</v>
      </c>
      <c r="H689" t="s">
        <v>20</v>
      </c>
      <c r="I689" t="s">
        <v>13</v>
      </c>
      <c r="J689" t="s">
        <v>17</v>
      </c>
    </row>
    <row r="690" spans="1:10" x14ac:dyDescent="0.35">
      <c r="A690">
        <v>689</v>
      </c>
      <c r="B690" s="1">
        <v>44786</v>
      </c>
      <c r="C690" t="s">
        <v>15</v>
      </c>
      <c r="D690" t="s">
        <v>11</v>
      </c>
      <c r="E690" s="2">
        <v>20</v>
      </c>
      <c r="F690">
        <v>6</v>
      </c>
      <c r="G690" s="2">
        <v>120</v>
      </c>
      <c r="H690" t="s">
        <v>16</v>
      </c>
      <c r="I690" t="s">
        <v>23</v>
      </c>
      <c r="J690" t="s">
        <v>17</v>
      </c>
    </row>
    <row r="691" spans="1:10" x14ac:dyDescent="0.35">
      <c r="A691">
        <v>690</v>
      </c>
      <c r="B691" s="1">
        <v>44839</v>
      </c>
      <c r="C691" t="s">
        <v>15</v>
      </c>
      <c r="D691" t="s">
        <v>11</v>
      </c>
      <c r="E691" s="2">
        <v>20</v>
      </c>
      <c r="F691">
        <v>9</v>
      </c>
      <c r="G691" s="2">
        <v>180</v>
      </c>
      <c r="H691" t="s">
        <v>16</v>
      </c>
      <c r="I691" t="s">
        <v>23</v>
      </c>
      <c r="J691" t="s">
        <v>14</v>
      </c>
    </row>
    <row r="692" spans="1:10" x14ac:dyDescent="0.35">
      <c r="A692">
        <v>691</v>
      </c>
      <c r="B692" s="1">
        <v>44652</v>
      </c>
      <c r="C692" t="s">
        <v>26</v>
      </c>
      <c r="D692" t="s">
        <v>11</v>
      </c>
      <c r="E692" s="2">
        <v>60</v>
      </c>
      <c r="F692">
        <v>7</v>
      </c>
      <c r="G692" s="2">
        <v>420</v>
      </c>
      <c r="H692" t="s">
        <v>16</v>
      </c>
      <c r="I692" t="s">
        <v>23</v>
      </c>
      <c r="J692" t="s">
        <v>21</v>
      </c>
    </row>
    <row r="693" spans="1:10" x14ac:dyDescent="0.35">
      <c r="A693">
        <v>692</v>
      </c>
      <c r="B693" s="1">
        <v>44939</v>
      </c>
      <c r="C693" t="s">
        <v>25</v>
      </c>
      <c r="D693" t="s">
        <v>11</v>
      </c>
      <c r="E693" s="2">
        <v>50</v>
      </c>
      <c r="F693">
        <v>14</v>
      </c>
      <c r="G693" s="2">
        <v>700</v>
      </c>
      <c r="H693" t="s">
        <v>20</v>
      </c>
      <c r="I693" t="s">
        <v>13</v>
      </c>
      <c r="J693" t="s">
        <v>17</v>
      </c>
    </row>
    <row r="694" spans="1:10" x14ac:dyDescent="0.35">
      <c r="A694">
        <v>693</v>
      </c>
      <c r="B694" s="1">
        <v>44894</v>
      </c>
      <c r="C694" t="s">
        <v>18</v>
      </c>
      <c r="D694" t="s">
        <v>19</v>
      </c>
      <c r="E694" s="2">
        <v>25</v>
      </c>
      <c r="F694">
        <v>13</v>
      </c>
      <c r="G694" s="2">
        <v>325</v>
      </c>
      <c r="H694" t="s">
        <v>20</v>
      </c>
      <c r="I694" t="s">
        <v>23</v>
      </c>
      <c r="J694" t="s">
        <v>27</v>
      </c>
    </row>
    <row r="695" spans="1:10" x14ac:dyDescent="0.35">
      <c r="A695">
        <v>694</v>
      </c>
      <c r="B695" s="1">
        <v>44673</v>
      </c>
      <c r="C695" t="s">
        <v>22</v>
      </c>
      <c r="D695" t="s">
        <v>11</v>
      </c>
      <c r="E695" s="2">
        <v>20</v>
      </c>
      <c r="F695">
        <v>14</v>
      </c>
      <c r="G695" s="2">
        <v>280</v>
      </c>
      <c r="H695" t="s">
        <v>16</v>
      </c>
      <c r="I695" t="s">
        <v>13</v>
      </c>
      <c r="J695" t="s">
        <v>27</v>
      </c>
    </row>
    <row r="696" spans="1:10" x14ac:dyDescent="0.35">
      <c r="A696">
        <v>695</v>
      </c>
      <c r="B696" s="1">
        <v>44797</v>
      </c>
      <c r="C696" t="s">
        <v>22</v>
      </c>
      <c r="D696" t="s">
        <v>11</v>
      </c>
      <c r="E696" s="2">
        <v>20</v>
      </c>
      <c r="F696">
        <v>10</v>
      </c>
      <c r="G696" s="2">
        <v>200</v>
      </c>
      <c r="H696" t="s">
        <v>20</v>
      </c>
      <c r="I696" t="s">
        <v>23</v>
      </c>
      <c r="J696" t="s">
        <v>27</v>
      </c>
    </row>
    <row r="697" spans="1:10" x14ac:dyDescent="0.35">
      <c r="A697">
        <v>696</v>
      </c>
      <c r="B697" s="1">
        <v>44980</v>
      </c>
      <c r="C697" t="s">
        <v>18</v>
      </c>
      <c r="D697" t="s">
        <v>19</v>
      </c>
      <c r="E697" s="2">
        <v>25</v>
      </c>
      <c r="F697">
        <v>3</v>
      </c>
      <c r="G697" s="2">
        <v>75</v>
      </c>
      <c r="H697" t="s">
        <v>20</v>
      </c>
      <c r="I697" t="s">
        <v>23</v>
      </c>
      <c r="J697" t="s">
        <v>21</v>
      </c>
    </row>
    <row r="698" spans="1:10" x14ac:dyDescent="0.35">
      <c r="A698">
        <v>697</v>
      </c>
      <c r="B698" s="1">
        <v>44686</v>
      </c>
      <c r="C698" t="s">
        <v>18</v>
      </c>
      <c r="D698" t="s">
        <v>19</v>
      </c>
      <c r="E698" s="2">
        <v>25</v>
      </c>
      <c r="F698">
        <v>5</v>
      </c>
      <c r="G698" s="2">
        <v>125</v>
      </c>
      <c r="H698" t="s">
        <v>16</v>
      </c>
      <c r="I698" t="s">
        <v>13</v>
      </c>
      <c r="J698" t="s">
        <v>27</v>
      </c>
    </row>
    <row r="699" spans="1:10" x14ac:dyDescent="0.35">
      <c r="A699">
        <v>698</v>
      </c>
      <c r="B699" s="1">
        <v>44891</v>
      </c>
      <c r="C699" t="s">
        <v>22</v>
      </c>
      <c r="D699" t="s">
        <v>11</v>
      </c>
      <c r="E699" s="2">
        <v>20</v>
      </c>
      <c r="F699">
        <v>10</v>
      </c>
      <c r="G699" s="2">
        <v>200</v>
      </c>
      <c r="H699" t="s">
        <v>20</v>
      </c>
      <c r="I699" t="s">
        <v>13</v>
      </c>
      <c r="J699" t="s">
        <v>14</v>
      </c>
    </row>
    <row r="700" spans="1:10" x14ac:dyDescent="0.35">
      <c r="A700">
        <v>699</v>
      </c>
      <c r="B700" s="1">
        <v>44813</v>
      </c>
      <c r="C700" t="s">
        <v>28</v>
      </c>
      <c r="D700" t="s">
        <v>19</v>
      </c>
      <c r="E700" s="2">
        <v>40</v>
      </c>
      <c r="F700">
        <v>1</v>
      </c>
      <c r="G700" s="2">
        <v>40</v>
      </c>
      <c r="H700" t="s">
        <v>20</v>
      </c>
      <c r="I700" t="s">
        <v>13</v>
      </c>
      <c r="J700" t="s">
        <v>21</v>
      </c>
    </row>
    <row r="701" spans="1:10" x14ac:dyDescent="0.35">
      <c r="A701">
        <v>700</v>
      </c>
      <c r="B701" s="1">
        <v>44880</v>
      </c>
      <c r="C701" t="s">
        <v>25</v>
      </c>
      <c r="D701" t="s">
        <v>11</v>
      </c>
      <c r="E701" s="2">
        <v>50</v>
      </c>
      <c r="F701">
        <v>6</v>
      </c>
      <c r="G701" s="2">
        <v>300</v>
      </c>
      <c r="H701" t="s">
        <v>16</v>
      </c>
      <c r="I701" t="s">
        <v>23</v>
      </c>
      <c r="J701" t="s">
        <v>21</v>
      </c>
    </row>
    <row r="702" spans="1:10" x14ac:dyDescent="0.35">
      <c r="A702">
        <v>701</v>
      </c>
      <c r="B702" s="1">
        <v>44761</v>
      </c>
      <c r="C702" t="s">
        <v>18</v>
      </c>
      <c r="D702" t="s">
        <v>19</v>
      </c>
      <c r="E702" s="2">
        <v>25</v>
      </c>
      <c r="F702">
        <v>14</v>
      </c>
      <c r="G702" s="2">
        <v>350</v>
      </c>
      <c r="H702" t="s">
        <v>20</v>
      </c>
      <c r="I702" t="s">
        <v>23</v>
      </c>
      <c r="J702" t="s">
        <v>21</v>
      </c>
    </row>
    <row r="703" spans="1:10" x14ac:dyDescent="0.35">
      <c r="A703">
        <v>702</v>
      </c>
      <c r="B703" s="1">
        <v>45010</v>
      </c>
      <c r="C703" t="s">
        <v>28</v>
      </c>
      <c r="D703" t="s">
        <v>19</v>
      </c>
      <c r="E703" s="2">
        <v>40</v>
      </c>
      <c r="F703">
        <v>13</v>
      </c>
      <c r="G703" s="2">
        <v>520</v>
      </c>
      <c r="H703" t="s">
        <v>16</v>
      </c>
      <c r="I703" t="s">
        <v>23</v>
      </c>
      <c r="J703" t="s">
        <v>17</v>
      </c>
    </row>
    <row r="704" spans="1:10" x14ac:dyDescent="0.35">
      <c r="A704">
        <v>703</v>
      </c>
      <c r="B704" s="1">
        <v>44866</v>
      </c>
      <c r="C704" t="s">
        <v>22</v>
      </c>
      <c r="D704" t="s">
        <v>11</v>
      </c>
      <c r="E704" s="2">
        <v>20</v>
      </c>
      <c r="F704">
        <v>10</v>
      </c>
      <c r="G704" s="2">
        <v>200</v>
      </c>
      <c r="H704" t="s">
        <v>20</v>
      </c>
      <c r="I704" t="s">
        <v>23</v>
      </c>
      <c r="J704" t="s">
        <v>17</v>
      </c>
    </row>
    <row r="705" spans="1:10" x14ac:dyDescent="0.35">
      <c r="A705">
        <v>704</v>
      </c>
      <c r="B705" s="1">
        <v>44787</v>
      </c>
      <c r="C705" t="s">
        <v>26</v>
      </c>
      <c r="D705" t="s">
        <v>11</v>
      </c>
      <c r="E705" s="2">
        <v>60</v>
      </c>
      <c r="F705">
        <v>1</v>
      </c>
      <c r="G705" s="2">
        <v>60</v>
      </c>
      <c r="H705" t="s">
        <v>20</v>
      </c>
      <c r="I705" t="s">
        <v>23</v>
      </c>
      <c r="J705" t="s">
        <v>21</v>
      </c>
    </row>
    <row r="706" spans="1:10" x14ac:dyDescent="0.35">
      <c r="A706">
        <v>705</v>
      </c>
      <c r="B706" s="1">
        <v>44841</v>
      </c>
      <c r="C706" t="s">
        <v>26</v>
      </c>
      <c r="D706" t="s">
        <v>11</v>
      </c>
      <c r="E706" s="2">
        <v>60</v>
      </c>
      <c r="F706">
        <v>6</v>
      </c>
      <c r="G706" s="2">
        <v>360</v>
      </c>
      <c r="H706" t="s">
        <v>20</v>
      </c>
      <c r="I706" t="s">
        <v>13</v>
      </c>
      <c r="J706" t="s">
        <v>21</v>
      </c>
    </row>
    <row r="707" spans="1:10" x14ac:dyDescent="0.35">
      <c r="A707">
        <v>706</v>
      </c>
      <c r="B707" s="1">
        <v>44962</v>
      </c>
      <c r="C707" t="s">
        <v>25</v>
      </c>
      <c r="D707" t="s">
        <v>11</v>
      </c>
      <c r="E707" s="2">
        <v>50</v>
      </c>
      <c r="F707">
        <v>8</v>
      </c>
      <c r="G707" s="2">
        <v>400</v>
      </c>
      <c r="H707" t="s">
        <v>20</v>
      </c>
      <c r="I707" t="s">
        <v>13</v>
      </c>
      <c r="J707" t="s">
        <v>14</v>
      </c>
    </row>
    <row r="708" spans="1:10" x14ac:dyDescent="0.35">
      <c r="A708">
        <v>707</v>
      </c>
      <c r="B708" s="1">
        <v>44911</v>
      </c>
      <c r="C708" t="s">
        <v>22</v>
      </c>
      <c r="D708" t="s">
        <v>11</v>
      </c>
      <c r="E708" s="2">
        <v>20</v>
      </c>
      <c r="F708">
        <v>2</v>
      </c>
      <c r="G708" s="2">
        <v>40</v>
      </c>
      <c r="H708" t="s">
        <v>20</v>
      </c>
      <c r="I708" t="s">
        <v>13</v>
      </c>
      <c r="J708" t="s">
        <v>14</v>
      </c>
    </row>
    <row r="709" spans="1:10" x14ac:dyDescent="0.35">
      <c r="A709">
        <v>708</v>
      </c>
      <c r="B709" s="1">
        <v>45000</v>
      </c>
      <c r="C709" t="s">
        <v>26</v>
      </c>
      <c r="D709" t="s">
        <v>11</v>
      </c>
      <c r="E709" s="2">
        <v>60</v>
      </c>
      <c r="F709">
        <v>5</v>
      </c>
      <c r="G709" s="2">
        <v>300</v>
      </c>
      <c r="H709" t="s">
        <v>16</v>
      </c>
      <c r="I709" t="s">
        <v>23</v>
      </c>
      <c r="J709" t="s">
        <v>27</v>
      </c>
    </row>
    <row r="710" spans="1:10" x14ac:dyDescent="0.35">
      <c r="A710">
        <v>709</v>
      </c>
      <c r="B710" s="1">
        <v>44979</v>
      </c>
      <c r="C710" t="s">
        <v>28</v>
      </c>
      <c r="D710" t="s">
        <v>19</v>
      </c>
      <c r="E710" s="2">
        <v>40</v>
      </c>
      <c r="F710">
        <v>6</v>
      </c>
      <c r="G710" s="2">
        <v>240</v>
      </c>
      <c r="H710" t="s">
        <v>16</v>
      </c>
      <c r="I710" t="s">
        <v>13</v>
      </c>
      <c r="J710" t="s">
        <v>24</v>
      </c>
    </row>
    <row r="711" spans="1:10" x14ac:dyDescent="0.35">
      <c r="A711">
        <v>710</v>
      </c>
      <c r="B711" s="1">
        <v>45000</v>
      </c>
      <c r="C711" t="s">
        <v>26</v>
      </c>
      <c r="D711" t="s">
        <v>11</v>
      </c>
      <c r="E711" s="2">
        <v>60</v>
      </c>
      <c r="F711">
        <v>15</v>
      </c>
      <c r="G711" s="2">
        <v>900</v>
      </c>
      <c r="H711" t="s">
        <v>12</v>
      </c>
      <c r="I711" t="s">
        <v>13</v>
      </c>
      <c r="J711" t="s">
        <v>14</v>
      </c>
    </row>
    <row r="712" spans="1:10" x14ac:dyDescent="0.35">
      <c r="A712">
        <v>711</v>
      </c>
      <c r="B712" s="1">
        <v>44864</v>
      </c>
      <c r="C712" t="s">
        <v>10</v>
      </c>
      <c r="D712" t="s">
        <v>11</v>
      </c>
      <c r="E712" s="2">
        <v>20</v>
      </c>
      <c r="F712">
        <v>3</v>
      </c>
      <c r="G712" s="2">
        <v>60</v>
      </c>
      <c r="H712" t="s">
        <v>16</v>
      </c>
      <c r="I712" t="s">
        <v>13</v>
      </c>
      <c r="J712" t="s">
        <v>17</v>
      </c>
    </row>
    <row r="713" spans="1:10" x14ac:dyDescent="0.35">
      <c r="A713">
        <v>712</v>
      </c>
      <c r="B713" s="1">
        <v>44912</v>
      </c>
      <c r="C713" t="s">
        <v>15</v>
      </c>
      <c r="D713" t="s">
        <v>11</v>
      </c>
      <c r="E713" s="2">
        <v>20</v>
      </c>
      <c r="F713">
        <v>3</v>
      </c>
      <c r="G713" s="2">
        <v>60</v>
      </c>
      <c r="H713" t="s">
        <v>20</v>
      </c>
      <c r="I713" t="s">
        <v>23</v>
      </c>
      <c r="J713" t="s">
        <v>27</v>
      </c>
    </row>
    <row r="714" spans="1:10" x14ac:dyDescent="0.35">
      <c r="A714">
        <v>713</v>
      </c>
      <c r="B714" s="1">
        <v>44897</v>
      </c>
      <c r="C714" t="s">
        <v>18</v>
      </c>
      <c r="D714" t="s">
        <v>19</v>
      </c>
      <c r="E714" s="2">
        <v>25</v>
      </c>
      <c r="F714">
        <v>14</v>
      </c>
      <c r="G714" s="2">
        <v>350</v>
      </c>
      <c r="H714" t="s">
        <v>20</v>
      </c>
      <c r="I714" t="s">
        <v>23</v>
      </c>
      <c r="J714" t="s">
        <v>24</v>
      </c>
    </row>
    <row r="715" spans="1:10" x14ac:dyDescent="0.35">
      <c r="A715">
        <v>714</v>
      </c>
      <c r="B715" s="1">
        <v>44909</v>
      </c>
      <c r="C715" t="s">
        <v>18</v>
      </c>
      <c r="D715" t="s">
        <v>19</v>
      </c>
      <c r="E715" s="2">
        <v>25</v>
      </c>
      <c r="F715">
        <v>14</v>
      </c>
      <c r="G715" s="2">
        <v>350</v>
      </c>
      <c r="H715" t="s">
        <v>16</v>
      </c>
      <c r="I715" t="s">
        <v>13</v>
      </c>
      <c r="J715" t="s">
        <v>17</v>
      </c>
    </row>
    <row r="716" spans="1:10" x14ac:dyDescent="0.35">
      <c r="A716">
        <v>715</v>
      </c>
      <c r="B716" s="1">
        <v>44663</v>
      </c>
      <c r="C716" t="s">
        <v>26</v>
      </c>
      <c r="D716" t="s">
        <v>11</v>
      </c>
      <c r="E716" s="2">
        <v>60</v>
      </c>
      <c r="F716">
        <v>1</v>
      </c>
      <c r="G716" s="2">
        <v>60</v>
      </c>
      <c r="H716" t="s">
        <v>20</v>
      </c>
      <c r="I716" t="s">
        <v>13</v>
      </c>
      <c r="J716" t="s">
        <v>24</v>
      </c>
    </row>
    <row r="717" spans="1:10" x14ac:dyDescent="0.35">
      <c r="A717">
        <v>716</v>
      </c>
      <c r="B717" s="1">
        <v>44898</v>
      </c>
      <c r="C717" t="s">
        <v>22</v>
      </c>
      <c r="D717" t="s">
        <v>11</v>
      </c>
      <c r="E717" s="2">
        <v>20</v>
      </c>
      <c r="F717">
        <v>9</v>
      </c>
      <c r="G717" s="2">
        <v>180</v>
      </c>
      <c r="H717" t="s">
        <v>16</v>
      </c>
      <c r="I717" t="s">
        <v>23</v>
      </c>
      <c r="J717" t="s">
        <v>27</v>
      </c>
    </row>
    <row r="718" spans="1:10" x14ac:dyDescent="0.35">
      <c r="A718">
        <v>717</v>
      </c>
      <c r="B718" s="1">
        <v>44845</v>
      </c>
      <c r="C718" t="s">
        <v>18</v>
      </c>
      <c r="D718" t="s">
        <v>19</v>
      </c>
      <c r="E718" s="2">
        <v>25</v>
      </c>
      <c r="F718">
        <v>15</v>
      </c>
      <c r="G718" s="2">
        <v>375</v>
      </c>
      <c r="H718" t="s">
        <v>12</v>
      </c>
      <c r="I718" t="s">
        <v>23</v>
      </c>
      <c r="J718" t="s">
        <v>21</v>
      </c>
    </row>
    <row r="719" spans="1:10" x14ac:dyDescent="0.35">
      <c r="A719">
        <v>718</v>
      </c>
      <c r="B719" s="1">
        <v>44923</v>
      </c>
      <c r="C719" t="s">
        <v>10</v>
      </c>
      <c r="D719" t="s">
        <v>11</v>
      </c>
      <c r="E719" s="2">
        <v>20</v>
      </c>
      <c r="F719">
        <v>2</v>
      </c>
      <c r="G719" s="2">
        <v>40</v>
      </c>
      <c r="H719" t="s">
        <v>20</v>
      </c>
      <c r="I719" t="s">
        <v>13</v>
      </c>
      <c r="J719" t="s">
        <v>17</v>
      </c>
    </row>
    <row r="720" spans="1:10" x14ac:dyDescent="0.35">
      <c r="A720">
        <v>719</v>
      </c>
      <c r="B720" s="1">
        <v>44690</v>
      </c>
      <c r="C720" t="s">
        <v>15</v>
      </c>
      <c r="D720" t="s">
        <v>11</v>
      </c>
      <c r="E720" s="2">
        <v>20</v>
      </c>
      <c r="F720">
        <v>15</v>
      </c>
      <c r="G720" s="2">
        <v>300</v>
      </c>
      <c r="H720" t="s">
        <v>16</v>
      </c>
      <c r="I720" t="s">
        <v>23</v>
      </c>
      <c r="J720" t="s">
        <v>27</v>
      </c>
    </row>
    <row r="721" spans="1:10" x14ac:dyDescent="0.35">
      <c r="A721">
        <v>720</v>
      </c>
      <c r="B721" s="1">
        <v>44691</v>
      </c>
      <c r="C721" t="s">
        <v>25</v>
      </c>
      <c r="D721" t="s">
        <v>11</v>
      </c>
      <c r="E721" s="2">
        <v>50</v>
      </c>
      <c r="F721">
        <v>14</v>
      </c>
      <c r="G721" s="2">
        <v>700</v>
      </c>
      <c r="H721" t="s">
        <v>16</v>
      </c>
      <c r="I721" t="s">
        <v>23</v>
      </c>
      <c r="J721" t="s">
        <v>24</v>
      </c>
    </row>
    <row r="722" spans="1:10" x14ac:dyDescent="0.35">
      <c r="A722">
        <v>721</v>
      </c>
      <c r="B722" s="1">
        <v>44786</v>
      </c>
      <c r="C722" t="s">
        <v>22</v>
      </c>
      <c r="D722" t="s">
        <v>11</v>
      </c>
      <c r="E722" s="2">
        <v>20</v>
      </c>
      <c r="F722">
        <v>12</v>
      </c>
      <c r="G722" s="2">
        <v>240</v>
      </c>
      <c r="H722" t="s">
        <v>12</v>
      </c>
      <c r="I722" t="s">
        <v>13</v>
      </c>
      <c r="J722" t="s">
        <v>17</v>
      </c>
    </row>
    <row r="723" spans="1:10" x14ac:dyDescent="0.35">
      <c r="A723">
        <v>722</v>
      </c>
      <c r="B723" s="1">
        <v>44818</v>
      </c>
      <c r="C723" t="s">
        <v>15</v>
      </c>
      <c r="D723" t="s">
        <v>11</v>
      </c>
      <c r="E723" s="2">
        <v>20</v>
      </c>
      <c r="F723">
        <v>15</v>
      </c>
      <c r="G723" s="2">
        <v>300</v>
      </c>
      <c r="H723" t="s">
        <v>12</v>
      </c>
      <c r="I723" t="s">
        <v>13</v>
      </c>
      <c r="J723" t="s">
        <v>27</v>
      </c>
    </row>
    <row r="724" spans="1:10" x14ac:dyDescent="0.35">
      <c r="A724">
        <v>723</v>
      </c>
      <c r="B724" s="1">
        <v>44973</v>
      </c>
      <c r="C724" t="s">
        <v>28</v>
      </c>
      <c r="D724" t="s">
        <v>19</v>
      </c>
      <c r="E724" s="2">
        <v>40</v>
      </c>
      <c r="F724">
        <v>10</v>
      </c>
      <c r="G724" s="2">
        <v>400</v>
      </c>
      <c r="H724" t="s">
        <v>20</v>
      </c>
      <c r="I724" t="s">
        <v>13</v>
      </c>
      <c r="J724" t="s">
        <v>21</v>
      </c>
    </row>
    <row r="725" spans="1:10" x14ac:dyDescent="0.35">
      <c r="A725">
        <v>724</v>
      </c>
      <c r="B725" s="1">
        <v>44739</v>
      </c>
      <c r="C725" t="s">
        <v>25</v>
      </c>
      <c r="D725" t="s">
        <v>11</v>
      </c>
      <c r="E725" s="2">
        <v>50</v>
      </c>
      <c r="F725">
        <v>10</v>
      </c>
      <c r="G725" s="2">
        <v>500</v>
      </c>
      <c r="H725" t="s">
        <v>16</v>
      </c>
      <c r="I725" t="s">
        <v>23</v>
      </c>
      <c r="J725" t="s">
        <v>14</v>
      </c>
    </row>
    <row r="726" spans="1:10" x14ac:dyDescent="0.35">
      <c r="A726">
        <v>725</v>
      </c>
      <c r="B726" s="1">
        <v>44746</v>
      </c>
      <c r="C726" t="s">
        <v>15</v>
      </c>
      <c r="D726" t="s">
        <v>11</v>
      </c>
      <c r="E726" s="2">
        <v>20</v>
      </c>
      <c r="F726">
        <v>6</v>
      </c>
      <c r="G726" s="2">
        <v>120</v>
      </c>
      <c r="H726" t="s">
        <v>20</v>
      </c>
      <c r="I726" t="s">
        <v>23</v>
      </c>
      <c r="J726" t="s">
        <v>17</v>
      </c>
    </row>
    <row r="727" spans="1:10" x14ac:dyDescent="0.35">
      <c r="A727">
        <v>726</v>
      </c>
      <c r="B727" s="1">
        <v>44815</v>
      </c>
      <c r="C727" t="s">
        <v>22</v>
      </c>
      <c r="D727" t="s">
        <v>11</v>
      </c>
      <c r="E727" s="2">
        <v>20</v>
      </c>
      <c r="F727">
        <v>1</v>
      </c>
      <c r="G727" s="2">
        <v>20</v>
      </c>
      <c r="H727" t="s">
        <v>20</v>
      </c>
      <c r="I727" t="s">
        <v>13</v>
      </c>
      <c r="J727" t="s">
        <v>24</v>
      </c>
    </row>
    <row r="728" spans="1:10" x14ac:dyDescent="0.35">
      <c r="A728">
        <v>727</v>
      </c>
      <c r="B728" s="1">
        <v>44798</v>
      </c>
      <c r="C728" t="s">
        <v>10</v>
      </c>
      <c r="D728" t="s">
        <v>11</v>
      </c>
      <c r="E728" s="2">
        <v>20</v>
      </c>
      <c r="F728">
        <v>5</v>
      </c>
      <c r="G728" s="2">
        <v>100</v>
      </c>
      <c r="H728" t="s">
        <v>16</v>
      </c>
      <c r="I728" t="s">
        <v>23</v>
      </c>
      <c r="J728" t="s">
        <v>27</v>
      </c>
    </row>
    <row r="729" spans="1:10" x14ac:dyDescent="0.35">
      <c r="A729">
        <v>728</v>
      </c>
      <c r="B729" s="1">
        <v>44776</v>
      </c>
      <c r="C729" t="s">
        <v>15</v>
      </c>
      <c r="D729" t="s">
        <v>11</v>
      </c>
      <c r="E729" s="2">
        <v>20</v>
      </c>
      <c r="F729">
        <v>1</v>
      </c>
      <c r="G729" s="2">
        <v>20</v>
      </c>
      <c r="H729" t="s">
        <v>20</v>
      </c>
      <c r="I729" t="s">
        <v>13</v>
      </c>
      <c r="J729" t="s">
        <v>27</v>
      </c>
    </row>
    <row r="730" spans="1:10" x14ac:dyDescent="0.35">
      <c r="A730">
        <v>729</v>
      </c>
      <c r="B730" s="1">
        <v>44889</v>
      </c>
      <c r="C730" t="s">
        <v>26</v>
      </c>
      <c r="D730" t="s">
        <v>11</v>
      </c>
      <c r="E730" s="2">
        <v>60</v>
      </c>
      <c r="F730">
        <v>7</v>
      </c>
      <c r="G730" s="2">
        <v>420</v>
      </c>
      <c r="H730" t="s">
        <v>16</v>
      </c>
      <c r="I730" t="s">
        <v>13</v>
      </c>
      <c r="J730" t="s">
        <v>14</v>
      </c>
    </row>
    <row r="731" spans="1:10" x14ac:dyDescent="0.35">
      <c r="A731">
        <v>730</v>
      </c>
      <c r="B731" s="1">
        <v>44740</v>
      </c>
      <c r="C731" t="s">
        <v>25</v>
      </c>
      <c r="D731" t="s">
        <v>11</v>
      </c>
      <c r="E731" s="2">
        <v>50</v>
      </c>
      <c r="F731">
        <v>13</v>
      </c>
      <c r="G731" s="2">
        <v>650</v>
      </c>
      <c r="H731" t="s">
        <v>16</v>
      </c>
      <c r="I731" t="s">
        <v>23</v>
      </c>
      <c r="J731" t="s">
        <v>17</v>
      </c>
    </row>
    <row r="732" spans="1:10" x14ac:dyDescent="0.35">
      <c r="A732">
        <v>731</v>
      </c>
      <c r="B732" s="1">
        <v>44994</v>
      </c>
      <c r="C732" t="s">
        <v>25</v>
      </c>
      <c r="D732" t="s">
        <v>11</v>
      </c>
      <c r="E732" s="2">
        <v>50</v>
      </c>
      <c r="F732">
        <v>10</v>
      </c>
      <c r="G732" s="2">
        <v>500</v>
      </c>
      <c r="H732" t="s">
        <v>16</v>
      </c>
      <c r="I732" t="s">
        <v>23</v>
      </c>
      <c r="J732" t="s">
        <v>17</v>
      </c>
    </row>
    <row r="733" spans="1:10" x14ac:dyDescent="0.35">
      <c r="A733">
        <v>732</v>
      </c>
      <c r="B733" s="1">
        <v>44725</v>
      </c>
      <c r="C733" t="s">
        <v>22</v>
      </c>
      <c r="D733" t="s">
        <v>11</v>
      </c>
      <c r="E733" s="2">
        <v>20</v>
      </c>
      <c r="F733">
        <v>7</v>
      </c>
      <c r="G733" s="2">
        <v>140</v>
      </c>
      <c r="H733" t="s">
        <v>12</v>
      </c>
      <c r="I733" t="s">
        <v>23</v>
      </c>
      <c r="J733" t="s">
        <v>27</v>
      </c>
    </row>
    <row r="734" spans="1:10" x14ac:dyDescent="0.35">
      <c r="A734">
        <v>733</v>
      </c>
      <c r="B734" s="1">
        <v>44960</v>
      </c>
      <c r="C734" t="s">
        <v>25</v>
      </c>
      <c r="D734" t="s">
        <v>11</v>
      </c>
      <c r="E734" s="2">
        <v>50</v>
      </c>
      <c r="F734">
        <v>10</v>
      </c>
      <c r="G734" s="2">
        <v>500</v>
      </c>
      <c r="H734" t="s">
        <v>16</v>
      </c>
      <c r="I734" t="s">
        <v>13</v>
      </c>
      <c r="J734" t="s">
        <v>21</v>
      </c>
    </row>
    <row r="735" spans="1:10" x14ac:dyDescent="0.35">
      <c r="A735">
        <v>734</v>
      </c>
      <c r="B735" s="1">
        <v>44841</v>
      </c>
      <c r="C735" t="s">
        <v>25</v>
      </c>
      <c r="D735" t="s">
        <v>11</v>
      </c>
      <c r="E735" s="2">
        <v>50</v>
      </c>
      <c r="F735">
        <v>7</v>
      </c>
      <c r="G735" s="2">
        <v>350</v>
      </c>
      <c r="H735" t="s">
        <v>16</v>
      </c>
      <c r="I735" t="s">
        <v>13</v>
      </c>
      <c r="J735" t="s">
        <v>21</v>
      </c>
    </row>
    <row r="736" spans="1:10" x14ac:dyDescent="0.35">
      <c r="A736">
        <v>735</v>
      </c>
      <c r="B736" s="1">
        <v>44783</v>
      </c>
      <c r="C736" t="s">
        <v>22</v>
      </c>
      <c r="D736" t="s">
        <v>11</v>
      </c>
      <c r="E736" s="2">
        <v>20</v>
      </c>
      <c r="F736">
        <v>11</v>
      </c>
      <c r="G736" s="2">
        <v>220</v>
      </c>
      <c r="H736" t="s">
        <v>16</v>
      </c>
      <c r="I736" t="s">
        <v>13</v>
      </c>
      <c r="J736" t="s">
        <v>24</v>
      </c>
    </row>
    <row r="737" spans="1:10" x14ac:dyDescent="0.35">
      <c r="A737">
        <v>736</v>
      </c>
      <c r="B737" s="1">
        <v>44829</v>
      </c>
      <c r="C737" t="s">
        <v>22</v>
      </c>
      <c r="D737" t="s">
        <v>11</v>
      </c>
      <c r="E737" s="2">
        <v>20</v>
      </c>
      <c r="F737">
        <v>13</v>
      </c>
      <c r="G737" s="2">
        <v>260</v>
      </c>
      <c r="H737" t="s">
        <v>12</v>
      </c>
      <c r="I737" t="s">
        <v>13</v>
      </c>
      <c r="J737" t="s">
        <v>17</v>
      </c>
    </row>
    <row r="738" spans="1:10" x14ac:dyDescent="0.35">
      <c r="A738">
        <v>737</v>
      </c>
      <c r="B738" s="1">
        <v>44824</v>
      </c>
      <c r="C738" t="s">
        <v>25</v>
      </c>
      <c r="D738" t="s">
        <v>11</v>
      </c>
      <c r="E738" s="2">
        <v>50</v>
      </c>
      <c r="F738">
        <v>13</v>
      </c>
      <c r="G738" s="2">
        <v>650</v>
      </c>
      <c r="H738" t="s">
        <v>20</v>
      </c>
      <c r="I738" t="s">
        <v>23</v>
      </c>
      <c r="J738" t="s">
        <v>14</v>
      </c>
    </row>
    <row r="739" spans="1:10" x14ac:dyDescent="0.35">
      <c r="A739">
        <v>738</v>
      </c>
      <c r="B739" s="1">
        <v>44986</v>
      </c>
      <c r="C739" t="s">
        <v>26</v>
      </c>
      <c r="D739" t="s">
        <v>11</v>
      </c>
      <c r="E739" s="2">
        <v>60</v>
      </c>
      <c r="F739">
        <v>4</v>
      </c>
      <c r="G739" s="2">
        <v>240</v>
      </c>
      <c r="H739" t="s">
        <v>20</v>
      </c>
      <c r="I739" t="s">
        <v>23</v>
      </c>
      <c r="J739" t="s">
        <v>24</v>
      </c>
    </row>
    <row r="740" spans="1:10" x14ac:dyDescent="0.35">
      <c r="A740">
        <v>739</v>
      </c>
      <c r="B740" s="1">
        <v>44718</v>
      </c>
      <c r="C740" t="s">
        <v>10</v>
      </c>
      <c r="D740" t="s">
        <v>11</v>
      </c>
      <c r="E740" s="2">
        <v>20</v>
      </c>
      <c r="F740">
        <v>11</v>
      </c>
      <c r="G740" s="2">
        <v>220</v>
      </c>
      <c r="H740" t="s">
        <v>20</v>
      </c>
      <c r="I740" t="s">
        <v>13</v>
      </c>
      <c r="J740" t="s">
        <v>14</v>
      </c>
    </row>
    <row r="741" spans="1:10" x14ac:dyDescent="0.35">
      <c r="A741">
        <v>740</v>
      </c>
      <c r="B741" s="1">
        <v>44772</v>
      </c>
      <c r="C741" t="s">
        <v>10</v>
      </c>
      <c r="D741" t="s">
        <v>11</v>
      </c>
      <c r="E741" s="2">
        <v>20</v>
      </c>
      <c r="F741">
        <v>9</v>
      </c>
      <c r="G741" s="2">
        <v>180</v>
      </c>
      <c r="H741" t="s">
        <v>16</v>
      </c>
      <c r="I741" t="s">
        <v>13</v>
      </c>
      <c r="J741" t="s">
        <v>27</v>
      </c>
    </row>
    <row r="742" spans="1:10" x14ac:dyDescent="0.35">
      <c r="A742">
        <v>741</v>
      </c>
      <c r="B742" s="1">
        <v>44758</v>
      </c>
      <c r="C742" t="s">
        <v>10</v>
      </c>
      <c r="D742" t="s">
        <v>11</v>
      </c>
      <c r="E742" s="2">
        <v>20</v>
      </c>
      <c r="F742">
        <v>5</v>
      </c>
      <c r="G742" s="2">
        <v>100</v>
      </c>
      <c r="H742" t="s">
        <v>20</v>
      </c>
      <c r="I742" t="s">
        <v>13</v>
      </c>
      <c r="J742" t="s">
        <v>17</v>
      </c>
    </row>
    <row r="743" spans="1:10" x14ac:dyDescent="0.35">
      <c r="A743">
        <v>742</v>
      </c>
      <c r="B743" s="1">
        <v>44883</v>
      </c>
      <c r="C743" t="s">
        <v>22</v>
      </c>
      <c r="D743" t="s">
        <v>11</v>
      </c>
      <c r="E743" s="2">
        <v>20</v>
      </c>
      <c r="F743">
        <v>14</v>
      </c>
      <c r="G743" s="2">
        <v>280</v>
      </c>
      <c r="H743" t="s">
        <v>20</v>
      </c>
      <c r="I743" t="s">
        <v>13</v>
      </c>
      <c r="J743" t="s">
        <v>14</v>
      </c>
    </row>
    <row r="744" spans="1:10" x14ac:dyDescent="0.35">
      <c r="A744">
        <v>743</v>
      </c>
      <c r="B744" s="1">
        <v>44874</v>
      </c>
      <c r="C744" t="s">
        <v>22</v>
      </c>
      <c r="D744" t="s">
        <v>11</v>
      </c>
      <c r="E744" s="2">
        <v>20</v>
      </c>
      <c r="F744">
        <v>1</v>
      </c>
      <c r="G744" s="2">
        <v>20</v>
      </c>
      <c r="H744" t="s">
        <v>16</v>
      </c>
      <c r="I744" t="s">
        <v>13</v>
      </c>
      <c r="J744" t="s">
        <v>24</v>
      </c>
    </row>
    <row r="745" spans="1:10" x14ac:dyDescent="0.35">
      <c r="A745">
        <v>744</v>
      </c>
      <c r="B745" s="1">
        <v>44737</v>
      </c>
      <c r="C745" t="s">
        <v>25</v>
      </c>
      <c r="D745" t="s">
        <v>11</v>
      </c>
      <c r="E745" s="2">
        <v>50</v>
      </c>
      <c r="F745">
        <v>10</v>
      </c>
      <c r="G745" s="2">
        <v>500</v>
      </c>
      <c r="H745" t="s">
        <v>16</v>
      </c>
      <c r="I745" t="s">
        <v>23</v>
      </c>
      <c r="J745" t="s">
        <v>24</v>
      </c>
    </row>
    <row r="746" spans="1:10" x14ac:dyDescent="0.35">
      <c r="A746">
        <v>745</v>
      </c>
      <c r="B746" s="1">
        <v>44815</v>
      </c>
      <c r="C746" t="s">
        <v>10</v>
      </c>
      <c r="D746" t="s">
        <v>11</v>
      </c>
      <c r="E746" s="2">
        <v>20</v>
      </c>
      <c r="F746">
        <v>2</v>
      </c>
      <c r="G746" s="2">
        <v>40</v>
      </c>
      <c r="H746" t="s">
        <v>20</v>
      </c>
      <c r="I746" t="s">
        <v>13</v>
      </c>
      <c r="J746" t="s">
        <v>21</v>
      </c>
    </row>
    <row r="747" spans="1:10" x14ac:dyDescent="0.35">
      <c r="A747">
        <v>746</v>
      </c>
      <c r="B747" s="1">
        <v>44778</v>
      </c>
      <c r="C747" t="s">
        <v>18</v>
      </c>
      <c r="D747" t="s">
        <v>19</v>
      </c>
      <c r="E747" s="2">
        <v>25</v>
      </c>
      <c r="F747">
        <v>5</v>
      </c>
      <c r="G747" s="2">
        <v>125</v>
      </c>
      <c r="H747" t="s">
        <v>20</v>
      </c>
      <c r="I747" t="s">
        <v>23</v>
      </c>
      <c r="J747" t="s">
        <v>27</v>
      </c>
    </row>
    <row r="748" spans="1:10" x14ac:dyDescent="0.35">
      <c r="A748">
        <v>747</v>
      </c>
      <c r="B748" s="1">
        <v>44940</v>
      </c>
      <c r="C748" t="s">
        <v>28</v>
      </c>
      <c r="D748" t="s">
        <v>19</v>
      </c>
      <c r="E748" s="2">
        <v>40</v>
      </c>
      <c r="F748">
        <v>3</v>
      </c>
      <c r="G748" s="2">
        <v>120</v>
      </c>
      <c r="H748" t="s">
        <v>16</v>
      </c>
      <c r="I748" t="s">
        <v>23</v>
      </c>
      <c r="J748" t="s">
        <v>27</v>
      </c>
    </row>
    <row r="749" spans="1:10" x14ac:dyDescent="0.35">
      <c r="A749">
        <v>748</v>
      </c>
      <c r="B749" s="1">
        <v>44824</v>
      </c>
      <c r="C749" t="s">
        <v>26</v>
      </c>
      <c r="D749" t="s">
        <v>11</v>
      </c>
      <c r="E749" s="2">
        <v>60</v>
      </c>
      <c r="F749">
        <v>14</v>
      </c>
      <c r="G749" s="2">
        <v>840</v>
      </c>
      <c r="H749" t="s">
        <v>16</v>
      </c>
      <c r="I749" t="s">
        <v>23</v>
      </c>
      <c r="J749" t="s">
        <v>14</v>
      </c>
    </row>
    <row r="750" spans="1:10" x14ac:dyDescent="0.35">
      <c r="A750">
        <v>749</v>
      </c>
      <c r="B750" s="1">
        <v>44804</v>
      </c>
      <c r="C750" t="s">
        <v>15</v>
      </c>
      <c r="D750" t="s">
        <v>11</v>
      </c>
      <c r="E750" s="2">
        <v>20</v>
      </c>
      <c r="F750">
        <v>11</v>
      </c>
      <c r="G750" s="2">
        <v>220</v>
      </c>
      <c r="H750" t="s">
        <v>16</v>
      </c>
      <c r="I750" t="s">
        <v>13</v>
      </c>
      <c r="J750" t="s">
        <v>24</v>
      </c>
    </row>
    <row r="751" spans="1:10" x14ac:dyDescent="0.35">
      <c r="A751">
        <v>750</v>
      </c>
      <c r="B751" s="1">
        <v>44958</v>
      </c>
      <c r="C751" t="s">
        <v>25</v>
      </c>
      <c r="D751" t="s">
        <v>11</v>
      </c>
      <c r="E751" s="2">
        <v>50</v>
      </c>
      <c r="F751">
        <v>1</v>
      </c>
      <c r="G751" s="2">
        <v>50</v>
      </c>
      <c r="H751" t="s">
        <v>20</v>
      </c>
      <c r="I751" t="s">
        <v>13</v>
      </c>
      <c r="J751" t="s">
        <v>21</v>
      </c>
    </row>
    <row r="752" spans="1:10" x14ac:dyDescent="0.35">
      <c r="A752">
        <v>751</v>
      </c>
      <c r="B752" s="1">
        <v>44820</v>
      </c>
      <c r="C752" t="s">
        <v>15</v>
      </c>
      <c r="D752" t="s">
        <v>11</v>
      </c>
      <c r="E752" s="2">
        <v>20</v>
      </c>
      <c r="F752">
        <v>2</v>
      </c>
      <c r="G752" s="2">
        <v>40</v>
      </c>
      <c r="H752" t="s">
        <v>16</v>
      </c>
      <c r="I752" t="s">
        <v>13</v>
      </c>
      <c r="J752" t="s">
        <v>17</v>
      </c>
    </row>
    <row r="753" spans="1:10" x14ac:dyDescent="0.35">
      <c r="A753">
        <v>752</v>
      </c>
      <c r="B753" s="1">
        <v>44716</v>
      </c>
      <c r="C753" t="s">
        <v>22</v>
      </c>
      <c r="D753" t="s">
        <v>11</v>
      </c>
      <c r="E753" s="2">
        <v>20</v>
      </c>
      <c r="F753">
        <v>2</v>
      </c>
      <c r="G753" s="2">
        <v>40</v>
      </c>
      <c r="H753" t="s">
        <v>20</v>
      </c>
      <c r="I753" t="s">
        <v>23</v>
      </c>
      <c r="J753" t="s">
        <v>24</v>
      </c>
    </row>
    <row r="754" spans="1:10" x14ac:dyDescent="0.35">
      <c r="A754">
        <v>753</v>
      </c>
      <c r="B754" s="1">
        <v>44738</v>
      </c>
      <c r="C754" t="s">
        <v>18</v>
      </c>
      <c r="D754" t="s">
        <v>19</v>
      </c>
      <c r="E754" s="2">
        <v>25</v>
      </c>
      <c r="F754">
        <v>1</v>
      </c>
      <c r="G754" s="2">
        <v>25</v>
      </c>
      <c r="H754" t="s">
        <v>16</v>
      </c>
      <c r="I754" t="s">
        <v>13</v>
      </c>
      <c r="J754" t="s">
        <v>27</v>
      </c>
    </row>
    <row r="755" spans="1:10" x14ac:dyDescent="0.35">
      <c r="A755">
        <v>754</v>
      </c>
      <c r="B755" s="1">
        <v>44924</v>
      </c>
      <c r="C755" t="s">
        <v>18</v>
      </c>
      <c r="D755" t="s">
        <v>19</v>
      </c>
      <c r="E755" s="2">
        <v>25</v>
      </c>
      <c r="F755">
        <v>14</v>
      </c>
      <c r="G755" s="2">
        <v>350</v>
      </c>
      <c r="H755" t="s">
        <v>16</v>
      </c>
      <c r="I755" t="s">
        <v>23</v>
      </c>
      <c r="J755" t="s">
        <v>21</v>
      </c>
    </row>
    <row r="756" spans="1:10" x14ac:dyDescent="0.35">
      <c r="A756">
        <v>755</v>
      </c>
      <c r="B756" s="1">
        <v>44928</v>
      </c>
      <c r="C756" t="s">
        <v>10</v>
      </c>
      <c r="D756" t="s">
        <v>11</v>
      </c>
      <c r="E756" s="2">
        <v>20</v>
      </c>
      <c r="F756">
        <v>12</v>
      </c>
      <c r="G756" s="2">
        <v>240</v>
      </c>
      <c r="H756" t="s">
        <v>16</v>
      </c>
      <c r="I756" t="s">
        <v>23</v>
      </c>
      <c r="J756" t="s">
        <v>14</v>
      </c>
    </row>
    <row r="757" spans="1:10" x14ac:dyDescent="0.35">
      <c r="A757">
        <v>756</v>
      </c>
      <c r="B757" s="1">
        <v>44855</v>
      </c>
      <c r="C757" t="s">
        <v>18</v>
      </c>
      <c r="D757" t="s">
        <v>19</v>
      </c>
      <c r="E757" s="2">
        <v>25</v>
      </c>
      <c r="F757">
        <v>10</v>
      </c>
      <c r="G757" s="2">
        <v>250</v>
      </c>
      <c r="H757" t="s">
        <v>20</v>
      </c>
      <c r="I757" t="s">
        <v>23</v>
      </c>
      <c r="J757" t="s">
        <v>24</v>
      </c>
    </row>
    <row r="758" spans="1:10" x14ac:dyDescent="0.35">
      <c r="A758">
        <v>757</v>
      </c>
      <c r="B758" s="1">
        <v>44920</v>
      </c>
      <c r="C758" t="s">
        <v>18</v>
      </c>
      <c r="D758" t="s">
        <v>19</v>
      </c>
      <c r="E758" s="2">
        <v>25</v>
      </c>
      <c r="F758">
        <v>11</v>
      </c>
      <c r="G758" s="2">
        <v>275</v>
      </c>
      <c r="H758" t="s">
        <v>20</v>
      </c>
      <c r="I758" t="s">
        <v>13</v>
      </c>
      <c r="J758" t="s">
        <v>24</v>
      </c>
    </row>
    <row r="759" spans="1:10" x14ac:dyDescent="0.35">
      <c r="A759">
        <v>758</v>
      </c>
      <c r="B759" s="1">
        <v>44829</v>
      </c>
      <c r="C759" t="s">
        <v>15</v>
      </c>
      <c r="D759" t="s">
        <v>11</v>
      </c>
      <c r="E759" s="2">
        <v>20</v>
      </c>
      <c r="F759">
        <v>3</v>
      </c>
      <c r="G759" s="2">
        <v>60</v>
      </c>
      <c r="H759" t="s">
        <v>16</v>
      </c>
      <c r="I759" t="s">
        <v>23</v>
      </c>
      <c r="J759" t="s">
        <v>21</v>
      </c>
    </row>
    <row r="760" spans="1:10" x14ac:dyDescent="0.35">
      <c r="A760">
        <v>759</v>
      </c>
      <c r="B760" s="1">
        <v>44920</v>
      </c>
      <c r="C760" t="s">
        <v>18</v>
      </c>
      <c r="D760" t="s">
        <v>19</v>
      </c>
      <c r="E760" s="2">
        <v>25</v>
      </c>
      <c r="F760">
        <v>13</v>
      </c>
      <c r="G760" s="2">
        <v>325</v>
      </c>
      <c r="H760" t="s">
        <v>20</v>
      </c>
      <c r="I760" t="s">
        <v>13</v>
      </c>
      <c r="J760" t="s">
        <v>27</v>
      </c>
    </row>
    <row r="761" spans="1:10" x14ac:dyDescent="0.35">
      <c r="A761">
        <v>760</v>
      </c>
      <c r="B761" s="1">
        <v>44879</v>
      </c>
      <c r="C761" t="s">
        <v>18</v>
      </c>
      <c r="D761" t="s">
        <v>19</v>
      </c>
      <c r="E761" s="2">
        <v>25</v>
      </c>
      <c r="F761">
        <v>1</v>
      </c>
      <c r="G761" s="2">
        <v>25</v>
      </c>
      <c r="H761" t="s">
        <v>20</v>
      </c>
      <c r="I761" t="s">
        <v>23</v>
      </c>
      <c r="J761" t="s">
        <v>21</v>
      </c>
    </row>
    <row r="762" spans="1:10" x14ac:dyDescent="0.35">
      <c r="A762">
        <v>761</v>
      </c>
      <c r="B762" s="1">
        <v>44877</v>
      </c>
      <c r="C762" t="s">
        <v>26</v>
      </c>
      <c r="D762" t="s">
        <v>11</v>
      </c>
      <c r="E762" s="2">
        <v>60</v>
      </c>
      <c r="F762">
        <v>3</v>
      </c>
      <c r="G762" s="2">
        <v>180</v>
      </c>
      <c r="H762" t="s">
        <v>12</v>
      </c>
      <c r="I762" t="s">
        <v>23</v>
      </c>
      <c r="J762" t="s">
        <v>27</v>
      </c>
    </row>
    <row r="763" spans="1:10" x14ac:dyDescent="0.35">
      <c r="A763">
        <v>762</v>
      </c>
      <c r="B763" s="1">
        <v>44660</v>
      </c>
      <c r="C763" t="s">
        <v>15</v>
      </c>
      <c r="D763" t="s">
        <v>11</v>
      </c>
      <c r="E763" s="2">
        <v>20</v>
      </c>
      <c r="F763">
        <v>12</v>
      </c>
      <c r="G763" s="2">
        <v>240</v>
      </c>
      <c r="H763" t="s">
        <v>20</v>
      </c>
      <c r="I763" t="s">
        <v>23</v>
      </c>
      <c r="J763" t="s">
        <v>27</v>
      </c>
    </row>
    <row r="764" spans="1:10" x14ac:dyDescent="0.35">
      <c r="A764">
        <v>763</v>
      </c>
      <c r="B764" s="1">
        <v>44746</v>
      </c>
      <c r="C764" t="s">
        <v>15</v>
      </c>
      <c r="D764" t="s">
        <v>11</v>
      </c>
      <c r="E764" s="2">
        <v>20</v>
      </c>
      <c r="F764">
        <v>14</v>
      </c>
      <c r="G764" s="2">
        <v>280</v>
      </c>
      <c r="H764" t="s">
        <v>12</v>
      </c>
      <c r="I764" t="s">
        <v>23</v>
      </c>
      <c r="J764" t="s">
        <v>14</v>
      </c>
    </row>
    <row r="765" spans="1:10" x14ac:dyDescent="0.35">
      <c r="A765">
        <v>764</v>
      </c>
      <c r="B765" s="1">
        <v>44971</v>
      </c>
      <c r="C765" t="s">
        <v>26</v>
      </c>
      <c r="D765" t="s">
        <v>11</v>
      </c>
      <c r="E765" s="2">
        <v>60</v>
      </c>
      <c r="F765">
        <v>7</v>
      </c>
      <c r="G765" s="2">
        <v>420</v>
      </c>
      <c r="H765" t="s">
        <v>16</v>
      </c>
      <c r="I765" t="s">
        <v>23</v>
      </c>
      <c r="J765" t="s">
        <v>14</v>
      </c>
    </row>
    <row r="766" spans="1:10" x14ac:dyDescent="0.35">
      <c r="A766">
        <v>765</v>
      </c>
      <c r="B766" s="1">
        <v>44727</v>
      </c>
      <c r="C766" t="s">
        <v>26</v>
      </c>
      <c r="D766" t="s">
        <v>11</v>
      </c>
      <c r="E766" s="2">
        <v>60</v>
      </c>
      <c r="F766">
        <v>13</v>
      </c>
      <c r="G766" s="2">
        <v>780</v>
      </c>
      <c r="H766" t="s">
        <v>16</v>
      </c>
      <c r="I766" t="s">
        <v>13</v>
      </c>
      <c r="J766" t="s">
        <v>14</v>
      </c>
    </row>
    <row r="767" spans="1:10" x14ac:dyDescent="0.35">
      <c r="A767">
        <v>766</v>
      </c>
      <c r="B767" s="1">
        <v>44731</v>
      </c>
      <c r="C767" t="s">
        <v>26</v>
      </c>
      <c r="D767" t="s">
        <v>11</v>
      </c>
      <c r="E767" s="2">
        <v>60</v>
      </c>
      <c r="F767">
        <v>10</v>
      </c>
      <c r="G767" s="2">
        <v>600</v>
      </c>
      <c r="H767" t="s">
        <v>20</v>
      </c>
      <c r="I767" t="s">
        <v>23</v>
      </c>
      <c r="J767" t="s">
        <v>24</v>
      </c>
    </row>
    <row r="768" spans="1:10" x14ac:dyDescent="0.35">
      <c r="A768">
        <v>767</v>
      </c>
      <c r="B768" s="1">
        <v>44983</v>
      </c>
      <c r="C768" t="s">
        <v>25</v>
      </c>
      <c r="D768" t="s">
        <v>11</v>
      </c>
      <c r="E768" s="2">
        <v>50</v>
      </c>
      <c r="F768">
        <v>8</v>
      </c>
      <c r="G768" s="2">
        <v>400</v>
      </c>
      <c r="H768" t="s">
        <v>16</v>
      </c>
      <c r="I768" t="s">
        <v>23</v>
      </c>
      <c r="J768" t="s">
        <v>17</v>
      </c>
    </row>
    <row r="769" spans="1:10" x14ac:dyDescent="0.35">
      <c r="A769">
        <v>768</v>
      </c>
      <c r="B769" s="1">
        <v>44938</v>
      </c>
      <c r="C769" t="s">
        <v>26</v>
      </c>
      <c r="D769" t="s">
        <v>11</v>
      </c>
      <c r="E769" s="2">
        <v>60</v>
      </c>
      <c r="F769">
        <v>14</v>
      </c>
      <c r="G769" s="2">
        <v>840</v>
      </c>
      <c r="H769" t="s">
        <v>16</v>
      </c>
      <c r="I769" t="s">
        <v>13</v>
      </c>
      <c r="J769" t="s">
        <v>17</v>
      </c>
    </row>
    <row r="770" spans="1:10" x14ac:dyDescent="0.35">
      <c r="A770">
        <v>769</v>
      </c>
      <c r="B770" s="1">
        <v>44719</v>
      </c>
      <c r="C770" t="s">
        <v>25</v>
      </c>
      <c r="D770" t="s">
        <v>11</v>
      </c>
      <c r="E770" s="2">
        <v>50</v>
      </c>
      <c r="F770">
        <v>8</v>
      </c>
      <c r="G770" s="2">
        <v>400</v>
      </c>
      <c r="H770" t="s">
        <v>16</v>
      </c>
      <c r="I770" t="s">
        <v>13</v>
      </c>
      <c r="J770" t="s">
        <v>24</v>
      </c>
    </row>
    <row r="771" spans="1:10" x14ac:dyDescent="0.35">
      <c r="A771">
        <v>770</v>
      </c>
      <c r="B771" s="1">
        <v>44979</v>
      </c>
      <c r="C771" t="s">
        <v>10</v>
      </c>
      <c r="D771" t="s">
        <v>11</v>
      </c>
      <c r="E771" s="2">
        <v>20</v>
      </c>
      <c r="F771">
        <v>8</v>
      </c>
      <c r="G771" s="2">
        <v>160</v>
      </c>
      <c r="H771" t="s">
        <v>16</v>
      </c>
      <c r="I771" t="s">
        <v>23</v>
      </c>
      <c r="J771" t="s">
        <v>24</v>
      </c>
    </row>
    <row r="772" spans="1:10" x14ac:dyDescent="0.35">
      <c r="A772">
        <v>771</v>
      </c>
      <c r="B772" s="1">
        <v>44788</v>
      </c>
      <c r="C772" t="s">
        <v>22</v>
      </c>
      <c r="D772" t="s">
        <v>11</v>
      </c>
      <c r="E772" s="2">
        <v>20</v>
      </c>
      <c r="F772">
        <v>5</v>
      </c>
      <c r="G772" s="2">
        <v>100</v>
      </c>
      <c r="H772" t="s">
        <v>20</v>
      </c>
      <c r="I772" t="s">
        <v>23</v>
      </c>
      <c r="J772" t="s">
        <v>27</v>
      </c>
    </row>
    <row r="773" spans="1:10" x14ac:dyDescent="0.35">
      <c r="A773">
        <v>772</v>
      </c>
      <c r="B773" s="1">
        <v>45005</v>
      </c>
      <c r="C773" t="s">
        <v>28</v>
      </c>
      <c r="D773" t="s">
        <v>19</v>
      </c>
      <c r="E773" s="2">
        <v>40</v>
      </c>
      <c r="F773">
        <v>9</v>
      </c>
      <c r="G773" s="2">
        <v>360</v>
      </c>
      <c r="H773" t="s">
        <v>16</v>
      </c>
      <c r="I773" t="s">
        <v>13</v>
      </c>
      <c r="J773" t="s">
        <v>21</v>
      </c>
    </row>
    <row r="774" spans="1:10" x14ac:dyDescent="0.35">
      <c r="A774">
        <v>773</v>
      </c>
      <c r="B774" s="1">
        <v>44787</v>
      </c>
      <c r="C774" t="s">
        <v>28</v>
      </c>
      <c r="D774" t="s">
        <v>19</v>
      </c>
      <c r="E774" s="2">
        <v>40</v>
      </c>
      <c r="F774">
        <v>7</v>
      </c>
      <c r="G774" s="2">
        <v>280</v>
      </c>
      <c r="H774" t="s">
        <v>20</v>
      </c>
      <c r="I774" t="s">
        <v>13</v>
      </c>
      <c r="J774" t="s">
        <v>17</v>
      </c>
    </row>
    <row r="775" spans="1:10" x14ac:dyDescent="0.35">
      <c r="A775">
        <v>774</v>
      </c>
      <c r="B775" s="1">
        <v>45000</v>
      </c>
      <c r="C775" t="s">
        <v>15</v>
      </c>
      <c r="D775" t="s">
        <v>11</v>
      </c>
      <c r="E775" s="2">
        <v>20</v>
      </c>
      <c r="F775">
        <v>1</v>
      </c>
      <c r="G775" s="2">
        <v>20</v>
      </c>
      <c r="H775" t="s">
        <v>20</v>
      </c>
      <c r="I775" t="s">
        <v>23</v>
      </c>
      <c r="J775" t="s">
        <v>14</v>
      </c>
    </row>
    <row r="776" spans="1:10" x14ac:dyDescent="0.35">
      <c r="A776">
        <v>775</v>
      </c>
      <c r="B776" s="1">
        <v>45012</v>
      </c>
      <c r="C776" t="s">
        <v>26</v>
      </c>
      <c r="D776" t="s">
        <v>11</v>
      </c>
      <c r="E776" s="2">
        <v>60</v>
      </c>
      <c r="F776">
        <v>6</v>
      </c>
      <c r="G776" s="2">
        <v>360</v>
      </c>
      <c r="H776" t="s">
        <v>16</v>
      </c>
      <c r="I776" t="s">
        <v>13</v>
      </c>
      <c r="J776" t="s">
        <v>14</v>
      </c>
    </row>
    <row r="777" spans="1:10" x14ac:dyDescent="0.35">
      <c r="A777">
        <v>776</v>
      </c>
      <c r="B777" s="1">
        <v>44964</v>
      </c>
      <c r="C777" t="s">
        <v>25</v>
      </c>
      <c r="D777" t="s">
        <v>11</v>
      </c>
      <c r="E777" s="2">
        <v>50</v>
      </c>
      <c r="F777">
        <v>10</v>
      </c>
      <c r="G777" s="2">
        <v>500</v>
      </c>
      <c r="H777" t="s">
        <v>16</v>
      </c>
      <c r="I777" t="s">
        <v>13</v>
      </c>
      <c r="J777" t="s">
        <v>27</v>
      </c>
    </row>
    <row r="778" spans="1:10" x14ac:dyDescent="0.35">
      <c r="A778">
        <v>777</v>
      </c>
      <c r="B778" s="1">
        <v>44857</v>
      </c>
      <c r="C778" t="s">
        <v>22</v>
      </c>
      <c r="D778" t="s">
        <v>11</v>
      </c>
      <c r="E778" s="2">
        <v>20</v>
      </c>
      <c r="F778">
        <v>13</v>
      </c>
      <c r="G778" s="2">
        <v>260</v>
      </c>
      <c r="H778" t="s">
        <v>16</v>
      </c>
      <c r="I778" t="s">
        <v>13</v>
      </c>
      <c r="J778" t="s">
        <v>24</v>
      </c>
    </row>
    <row r="779" spans="1:10" x14ac:dyDescent="0.35">
      <c r="A779">
        <v>778</v>
      </c>
      <c r="B779" s="1">
        <v>44723</v>
      </c>
      <c r="C779" t="s">
        <v>25</v>
      </c>
      <c r="D779" t="s">
        <v>11</v>
      </c>
      <c r="E779" s="2">
        <v>50</v>
      </c>
      <c r="F779">
        <v>13</v>
      </c>
      <c r="G779" s="2">
        <v>650</v>
      </c>
      <c r="H779" t="s">
        <v>16</v>
      </c>
      <c r="I779" t="s">
        <v>13</v>
      </c>
      <c r="J779" t="s">
        <v>21</v>
      </c>
    </row>
    <row r="780" spans="1:10" x14ac:dyDescent="0.35">
      <c r="A780">
        <v>779</v>
      </c>
      <c r="B780" s="1">
        <v>44942</v>
      </c>
      <c r="C780" t="s">
        <v>26</v>
      </c>
      <c r="D780" t="s">
        <v>11</v>
      </c>
      <c r="E780" s="2">
        <v>60</v>
      </c>
      <c r="F780">
        <v>13</v>
      </c>
      <c r="G780" s="2">
        <v>780</v>
      </c>
      <c r="H780" t="s">
        <v>12</v>
      </c>
      <c r="I780" t="s">
        <v>13</v>
      </c>
      <c r="J780" t="s">
        <v>14</v>
      </c>
    </row>
    <row r="781" spans="1:10" x14ac:dyDescent="0.35">
      <c r="A781">
        <v>780</v>
      </c>
      <c r="B781" s="1">
        <v>44892</v>
      </c>
      <c r="C781" t="s">
        <v>18</v>
      </c>
      <c r="D781" t="s">
        <v>19</v>
      </c>
      <c r="E781" s="2">
        <v>25</v>
      </c>
      <c r="F781">
        <v>13</v>
      </c>
      <c r="G781" s="2">
        <v>325</v>
      </c>
      <c r="H781" t="s">
        <v>20</v>
      </c>
      <c r="I781" t="s">
        <v>23</v>
      </c>
      <c r="J781" t="s">
        <v>17</v>
      </c>
    </row>
    <row r="782" spans="1:10" x14ac:dyDescent="0.35">
      <c r="A782">
        <v>781</v>
      </c>
      <c r="B782" s="1">
        <v>44708</v>
      </c>
      <c r="C782" t="s">
        <v>10</v>
      </c>
      <c r="D782" t="s">
        <v>11</v>
      </c>
      <c r="E782" s="2">
        <v>20</v>
      </c>
      <c r="F782">
        <v>10</v>
      </c>
      <c r="G782" s="2">
        <v>200</v>
      </c>
      <c r="H782" t="s">
        <v>20</v>
      </c>
      <c r="I782" t="s">
        <v>13</v>
      </c>
      <c r="J782" t="s">
        <v>27</v>
      </c>
    </row>
    <row r="783" spans="1:10" x14ac:dyDescent="0.35">
      <c r="A783">
        <v>782</v>
      </c>
      <c r="B783" s="1">
        <v>44911</v>
      </c>
      <c r="C783" t="s">
        <v>10</v>
      </c>
      <c r="D783" t="s">
        <v>11</v>
      </c>
      <c r="E783" s="2">
        <v>20</v>
      </c>
      <c r="F783">
        <v>5</v>
      </c>
      <c r="G783" s="2">
        <v>100</v>
      </c>
      <c r="H783" t="s">
        <v>20</v>
      </c>
      <c r="I783" t="s">
        <v>13</v>
      </c>
      <c r="J783" t="s">
        <v>14</v>
      </c>
    </row>
    <row r="784" spans="1:10" x14ac:dyDescent="0.35">
      <c r="A784">
        <v>783</v>
      </c>
      <c r="B784" s="1">
        <v>44680</v>
      </c>
      <c r="C784" t="s">
        <v>10</v>
      </c>
      <c r="D784" t="s">
        <v>11</v>
      </c>
      <c r="E784" s="2">
        <v>20</v>
      </c>
      <c r="F784">
        <v>8</v>
      </c>
      <c r="G784" s="2">
        <v>160</v>
      </c>
      <c r="H784" t="s">
        <v>16</v>
      </c>
      <c r="I784" t="s">
        <v>13</v>
      </c>
      <c r="J784" t="s">
        <v>24</v>
      </c>
    </row>
    <row r="785" spans="1:10" x14ac:dyDescent="0.35">
      <c r="A785">
        <v>784</v>
      </c>
      <c r="B785" s="1">
        <v>44751</v>
      </c>
      <c r="C785" t="s">
        <v>15</v>
      </c>
      <c r="D785" t="s">
        <v>11</v>
      </c>
      <c r="E785" s="2">
        <v>20</v>
      </c>
      <c r="F785">
        <v>8</v>
      </c>
      <c r="G785" s="2">
        <v>160</v>
      </c>
      <c r="H785" t="s">
        <v>16</v>
      </c>
      <c r="I785" t="s">
        <v>23</v>
      </c>
      <c r="J785" t="s">
        <v>24</v>
      </c>
    </row>
    <row r="786" spans="1:10" x14ac:dyDescent="0.35">
      <c r="A786">
        <v>785</v>
      </c>
      <c r="B786" s="1">
        <v>44902</v>
      </c>
      <c r="C786" t="s">
        <v>10</v>
      </c>
      <c r="D786" t="s">
        <v>11</v>
      </c>
      <c r="E786" s="2">
        <v>20</v>
      </c>
      <c r="F786">
        <v>2</v>
      </c>
      <c r="G786" s="2">
        <v>40</v>
      </c>
      <c r="H786" t="s">
        <v>20</v>
      </c>
      <c r="I786" t="s">
        <v>13</v>
      </c>
      <c r="J786" t="s">
        <v>17</v>
      </c>
    </row>
    <row r="787" spans="1:10" x14ac:dyDescent="0.35">
      <c r="A787">
        <v>786</v>
      </c>
      <c r="B787" s="1">
        <v>44998</v>
      </c>
      <c r="C787" t="s">
        <v>26</v>
      </c>
      <c r="D787" t="s">
        <v>11</v>
      </c>
      <c r="E787" s="2">
        <v>60</v>
      </c>
      <c r="F787">
        <v>14</v>
      </c>
      <c r="G787" s="2">
        <v>840</v>
      </c>
      <c r="H787" t="s">
        <v>20</v>
      </c>
      <c r="I787" t="s">
        <v>23</v>
      </c>
      <c r="J787" t="s">
        <v>14</v>
      </c>
    </row>
    <row r="788" spans="1:10" x14ac:dyDescent="0.35">
      <c r="A788">
        <v>787</v>
      </c>
      <c r="B788" s="1">
        <v>45010</v>
      </c>
      <c r="C788" t="s">
        <v>10</v>
      </c>
      <c r="D788" t="s">
        <v>11</v>
      </c>
      <c r="E788" s="2">
        <v>20</v>
      </c>
      <c r="F788">
        <v>2</v>
      </c>
      <c r="G788" s="2">
        <v>40</v>
      </c>
      <c r="H788" t="s">
        <v>16</v>
      </c>
      <c r="I788" t="s">
        <v>23</v>
      </c>
      <c r="J788" t="s">
        <v>17</v>
      </c>
    </row>
    <row r="789" spans="1:10" x14ac:dyDescent="0.35">
      <c r="A789">
        <v>788</v>
      </c>
      <c r="B789" s="1">
        <v>44786</v>
      </c>
      <c r="C789" t="s">
        <v>18</v>
      </c>
      <c r="D789" t="s">
        <v>19</v>
      </c>
      <c r="E789" s="2">
        <v>25</v>
      </c>
      <c r="F789">
        <v>7</v>
      </c>
      <c r="G789" s="2">
        <v>175</v>
      </c>
      <c r="H789" t="s">
        <v>20</v>
      </c>
      <c r="I789" t="s">
        <v>13</v>
      </c>
      <c r="J789" t="s">
        <v>17</v>
      </c>
    </row>
    <row r="790" spans="1:10" x14ac:dyDescent="0.35">
      <c r="A790">
        <v>789</v>
      </c>
      <c r="B790" s="1">
        <v>44776</v>
      </c>
      <c r="C790" t="s">
        <v>18</v>
      </c>
      <c r="D790" t="s">
        <v>19</v>
      </c>
      <c r="E790" s="2">
        <v>25</v>
      </c>
      <c r="F790">
        <v>7</v>
      </c>
      <c r="G790" s="2">
        <v>175</v>
      </c>
      <c r="H790" t="s">
        <v>16</v>
      </c>
      <c r="I790" t="s">
        <v>13</v>
      </c>
      <c r="J790" t="s">
        <v>24</v>
      </c>
    </row>
    <row r="791" spans="1:10" x14ac:dyDescent="0.35">
      <c r="A791">
        <v>790</v>
      </c>
      <c r="B791" s="1">
        <v>44762</v>
      </c>
      <c r="C791" t="s">
        <v>22</v>
      </c>
      <c r="D791" t="s">
        <v>11</v>
      </c>
      <c r="E791" s="2">
        <v>20</v>
      </c>
      <c r="F791">
        <v>3</v>
      </c>
      <c r="G791" s="2">
        <v>60</v>
      </c>
      <c r="H791" t="s">
        <v>16</v>
      </c>
      <c r="I791" t="s">
        <v>23</v>
      </c>
      <c r="J791" t="s">
        <v>21</v>
      </c>
    </row>
    <row r="792" spans="1:10" x14ac:dyDescent="0.35">
      <c r="A792">
        <v>791</v>
      </c>
      <c r="B792" s="1">
        <v>44658</v>
      </c>
      <c r="C792" t="s">
        <v>15</v>
      </c>
      <c r="D792" t="s">
        <v>11</v>
      </c>
      <c r="E792" s="2">
        <v>20</v>
      </c>
      <c r="F792">
        <v>3</v>
      </c>
      <c r="G792" s="2">
        <v>60</v>
      </c>
      <c r="H792" t="s">
        <v>12</v>
      </c>
      <c r="I792" t="s">
        <v>13</v>
      </c>
      <c r="J792" t="s">
        <v>27</v>
      </c>
    </row>
    <row r="793" spans="1:10" x14ac:dyDescent="0.35">
      <c r="A793">
        <v>792</v>
      </c>
      <c r="B793" s="1">
        <v>44982</v>
      </c>
      <c r="C793" t="s">
        <v>15</v>
      </c>
      <c r="D793" t="s">
        <v>11</v>
      </c>
      <c r="E793" s="2">
        <v>20</v>
      </c>
      <c r="F793">
        <v>2</v>
      </c>
      <c r="G793" s="2">
        <v>40</v>
      </c>
      <c r="H793" t="s">
        <v>16</v>
      </c>
      <c r="I793" t="s">
        <v>23</v>
      </c>
      <c r="J793" t="s">
        <v>24</v>
      </c>
    </row>
    <row r="794" spans="1:10" x14ac:dyDescent="0.35">
      <c r="A794">
        <v>793</v>
      </c>
      <c r="B794" s="1">
        <v>44803</v>
      </c>
      <c r="C794" t="s">
        <v>26</v>
      </c>
      <c r="D794" t="s">
        <v>11</v>
      </c>
      <c r="E794" s="2">
        <v>60</v>
      </c>
      <c r="F794">
        <v>6</v>
      </c>
      <c r="G794" s="2">
        <v>360</v>
      </c>
      <c r="H794" t="s">
        <v>16</v>
      </c>
      <c r="I794" t="s">
        <v>23</v>
      </c>
      <c r="J794" t="s">
        <v>14</v>
      </c>
    </row>
    <row r="795" spans="1:10" x14ac:dyDescent="0.35">
      <c r="A795">
        <v>794</v>
      </c>
      <c r="B795" s="1">
        <v>44836</v>
      </c>
      <c r="C795" t="s">
        <v>18</v>
      </c>
      <c r="D795" t="s">
        <v>19</v>
      </c>
      <c r="E795" s="2">
        <v>25</v>
      </c>
      <c r="F795">
        <v>5</v>
      </c>
      <c r="G795" s="2">
        <v>125</v>
      </c>
      <c r="H795" t="s">
        <v>20</v>
      </c>
      <c r="I795" t="s">
        <v>13</v>
      </c>
      <c r="J795" t="s">
        <v>17</v>
      </c>
    </row>
    <row r="796" spans="1:10" x14ac:dyDescent="0.35">
      <c r="A796">
        <v>795</v>
      </c>
      <c r="B796" s="1">
        <v>44936</v>
      </c>
      <c r="C796" t="s">
        <v>15</v>
      </c>
      <c r="D796" t="s">
        <v>11</v>
      </c>
      <c r="E796" s="2">
        <v>20</v>
      </c>
      <c r="F796">
        <v>9</v>
      </c>
      <c r="G796" s="2">
        <v>180</v>
      </c>
      <c r="H796" t="s">
        <v>16</v>
      </c>
      <c r="I796" t="s">
        <v>13</v>
      </c>
      <c r="J796" t="s">
        <v>21</v>
      </c>
    </row>
    <row r="797" spans="1:10" x14ac:dyDescent="0.35">
      <c r="A797">
        <v>796</v>
      </c>
      <c r="B797" s="1">
        <v>44737</v>
      </c>
      <c r="C797" t="s">
        <v>18</v>
      </c>
      <c r="D797" t="s">
        <v>19</v>
      </c>
      <c r="E797" s="2">
        <v>25</v>
      </c>
      <c r="F797">
        <v>14</v>
      </c>
      <c r="G797" s="2">
        <v>350</v>
      </c>
      <c r="H797" t="s">
        <v>20</v>
      </c>
      <c r="I797" t="s">
        <v>13</v>
      </c>
      <c r="J797" t="s">
        <v>14</v>
      </c>
    </row>
    <row r="798" spans="1:10" x14ac:dyDescent="0.35">
      <c r="A798">
        <v>797</v>
      </c>
      <c r="B798" s="1">
        <v>44891</v>
      </c>
      <c r="C798" t="s">
        <v>28</v>
      </c>
      <c r="D798" t="s">
        <v>19</v>
      </c>
      <c r="E798" s="2">
        <v>40</v>
      </c>
      <c r="F798">
        <v>11</v>
      </c>
      <c r="G798" s="2">
        <v>440</v>
      </c>
      <c r="H798" t="s">
        <v>16</v>
      </c>
      <c r="I798" t="s">
        <v>13</v>
      </c>
      <c r="J798" t="s">
        <v>14</v>
      </c>
    </row>
    <row r="799" spans="1:10" x14ac:dyDescent="0.35">
      <c r="A799">
        <v>798</v>
      </c>
      <c r="B799" s="1">
        <v>44703</v>
      </c>
      <c r="C799" t="s">
        <v>25</v>
      </c>
      <c r="D799" t="s">
        <v>11</v>
      </c>
      <c r="E799" s="2">
        <v>50</v>
      </c>
      <c r="F799">
        <v>12</v>
      </c>
      <c r="G799" s="2">
        <v>600</v>
      </c>
      <c r="H799" t="s">
        <v>12</v>
      </c>
      <c r="I799" t="s">
        <v>13</v>
      </c>
      <c r="J799" t="s">
        <v>14</v>
      </c>
    </row>
    <row r="800" spans="1:10" x14ac:dyDescent="0.35">
      <c r="A800">
        <v>799</v>
      </c>
      <c r="B800" s="1">
        <v>44937</v>
      </c>
      <c r="C800" t="s">
        <v>22</v>
      </c>
      <c r="D800" t="s">
        <v>11</v>
      </c>
      <c r="E800" s="2">
        <v>20</v>
      </c>
      <c r="F800">
        <v>1</v>
      </c>
      <c r="G800" s="2">
        <v>20</v>
      </c>
      <c r="H800" t="s">
        <v>20</v>
      </c>
      <c r="I800" t="s">
        <v>23</v>
      </c>
      <c r="J800" t="s">
        <v>14</v>
      </c>
    </row>
    <row r="801" spans="1:10" x14ac:dyDescent="0.35">
      <c r="A801">
        <v>800</v>
      </c>
      <c r="B801" s="1">
        <v>44871</v>
      </c>
      <c r="C801" t="s">
        <v>28</v>
      </c>
      <c r="D801" t="s">
        <v>19</v>
      </c>
      <c r="E801" s="2">
        <v>40</v>
      </c>
      <c r="F801">
        <v>14</v>
      </c>
      <c r="G801" s="2">
        <v>560</v>
      </c>
      <c r="H801" t="s">
        <v>16</v>
      </c>
      <c r="I801" t="s">
        <v>13</v>
      </c>
      <c r="J801" t="s">
        <v>14</v>
      </c>
    </row>
    <row r="802" spans="1:10" x14ac:dyDescent="0.35">
      <c r="A802">
        <v>801</v>
      </c>
      <c r="B802" s="1">
        <v>44679</v>
      </c>
      <c r="C802" t="s">
        <v>10</v>
      </c>
      <c r="D802" t="s">
        <v>11</v>
      </c>
      <c r="E802" s="2">
        <v>20</v>
      </c>
      <c r="F802">
        <v>7</v>
      </c>
      <c r="G802" s="2">
        <v>140</v>
      </c>
      <c r="H802" t="s">
        <v>16</v>
      </c>
      <c r="I802" t="s">
        <v>23</v>
      </c>
      <c r="J802" t="s">
        <v>21</v>
      </c>
    </row>
    <row r="803" spans="1:10" x14ac:dyDescent="0.35">
      <c r="A803">
        <v>802</v>
      </c>
      <c r="B803" s="1">
        <v>44949</v>
      </c>
      <c r="C803" t="s">
        <v>26</v>
      </c>
      <c r="D803" t="s">
        <v>11</v>
      </c>
      <c r="E803" s="2">
        <v>60</v>
      </c>
      <c r="F803">
        <v>7</v>
      </c>
      <c r="G803" s="2">
        <v>420</v>
      </c>
      <c r="H803" t="s">
        <v>20</v>
      </c>
      <c r="I803" t="s">
        <v>23</v>
      </c>
      <c r="J803" t="s">
        <v>17</v>
      </c>
    </row>
    <row r="804" spans="1:10" x14ac:dyDescent="0.35">
      <c r="A804">
        <v>803</v>
      </c>
      <c r="B804" s="1">
        <v>44800</v>
      </c>
      <c r="C804" t="s">
        <v>15</v>
      </c>
      <c r="D804" t="s">
        <v>11</v>
      </c>
      <c r="E804" s="2">
        <v>20</v>
      </c>
      <c r="F804">
        <v>5</v>
      </c>
      <c r="G804" s="2">
        <v>100</v>
      </c>
      <c r="H804" t="s">
        <v>12</v>
      </c>
      <c r="I804" t="s">
        <v>13</v>
      </c>
      <c r="J804" t="s">
        <v>14</v>
      </c>
    </row>
    <row r="805" spans="1:10" x14ac:dyDescent="0.35">
      <c r="A805">
        <v>804</v>
      </c>
      <c r="B805" s="1">
        <v>44845</v>
      </c>
      <c r="C805" t="s">
        <v>28</v>
      </c>
      <c r="D805" t="s">
        <v>19</v>
      </c>
      <c r="E805" s="2">
        <v>40</v>
      </c>
      <c r="F805">
        <v>12</v>
      </c>
      <c r="G805" s="2">
        <v>480</v>
      </c>
      <c r="H805" t="s">
        <v>20</v>
      </c>
      <c r="I805" t="s">
        <v>23</v>
      </c>
      <c r="J805" t="s">
        <v>14</v>
      </c>
    </row>
    <row r="806" spans="1:10" x14ac:dyDescent="0.35">
      <c r="A806">
        <v>805</v>
      </c>
      <c r="B806" s="1">
        <v>44689</v>
      </c>
      <c r="C806" t="s">
        <v>18</v>
      </c>
      <c r="D806" t="s">
        <v>19</v>
      </c>
      <c r="E806" s="2">
        <v>25</v>
      </c>
      <c r="F806">
        <v>1</v>
      </c>
      <c r="G806" s="2">
        <v>25</v>
      </c>
      <c r="H806" t="s">
        <v>20</v>
      </c>
      <c r="I806" t="s">
        <v>13</v>
      </c>
      <c r="J806" t="s">
        <v>17</v>
      </c>
    </row>
    <row r="807" spans="1:10" x14ac:dyDescent="0.35">
      <c r="A807">
        <v>806</v>
      </c>
      <c r="B807" s="1">
        <v>44704</v>
      </c>
      <c r="C807" t="s">
        <v>15</v>
      </c>
      <c r="D807" t="s">
        <v>11</v>
      </c>
      <c r="E807" s="2">
        <v>20</v>
      </c>
      <c r="F807">
        <v>3</v>
      </c>
      <c r="G807" s="2">
        <v>60</v>
      </c>
      <c r="H807" t="s">
        <v>20</v>
      </c>
      <c r="I807" t="s">
        <v>13</v>
      </c>
      <c r="J807" t="s">
        <v>21</v>
      </c>
    </row>
    <row r="808" spans="1:10" x14ac:dyDescent="0.35">
      <c r="A808">
        <v>807</v>
      </c>
      <c r="B808" s="1">
        <v>44725</v>
      </c>
      <c r="C808" t="s">
        <v>25</v>
      </c>
      <c r="D808" t="s">
        <v>11</v>
      </c>
      <c r="E808" s="2">
        <v>50</v>
      </c>
      <c r="F808">
        <v>1</v>
      </c>
      <c r="G808" s="2">
        <v>50</v>
      </c>
      <c r="H808" t="s">
        <v>20</v>
      </c>
      <c r="I808" t="s">
        <v>23</v>
      </c>
      <c r="J808" t="s">
        <v>27</v>
      </c>
    </row>
    <row r="809" spans="1:10" x14ac:dyDescent="0.35">
      <c r="A809">
        <v>808</v>
      </c>
      <c r="B809" s="1">
        <v>44825</v>
      </c>
      <c r="C809" t="s">
        <v>22</v>
      </c>
      <c r="D809" t="s">
        <v>11</v>
      </c>
      <c r="E809" s="2">
        <v>20</v>
      </c>
      <c r="F809">
        <v>1</v>
      </c>
      <c r="G809" s="2">
        <v>20</v>
      </c>
      <c r="H809" t="s">
        <v>20</v>
      </c>
      <c r="I809" t="s">
        <v>13</v>
      </c>
      <c r="J809" t="s">
        <v>24</v>
      </c>
    </row>
    <row r="810" spans="1:10" x14ac:dyDescent="0.35">
      <c r="A810">
        <v>809</v>
      </c>
      <c r="B810" s="1">
        <v>44907</v>
      </c>
      <c r="C810" t="s">
        <v>22</v>
      </c>
      <c r="D810" t="s">
        <v>11</v>
      </c>
      <c r="E810" s="2">
        <v>20</v>
      </c>
      <c r="F810">
        <v>10</v>
      </c>
      <c r="G810" s="2">
        <v>200</v>
      </c>
      <c r="H810" t="s">
        <v>20</v>
      </c>
      <c r="I810" t="s">
        <v>13</v>
      </c>
      <c r="J810" t="s">
        <v>21</v>
      </c>
    </row>
    <row r="811" spans="1:10" x14ac:dyDescent="0.35">
      <c r="A811">
        <v>810</v>
      </c>
      <c r="B811" s="1">
        <v>44922</v>
      </c>
      <c r="C811" t="s">
        <v>15</v>
      </c>
      <c r="D811" t="s">
        <v>11</v>
      </c>
      <c r="E811" s="2">
        <v>20</v>
      </c>
      <c r="F811">
        <v>3</v>
      </c>
      <c r="G811" s="2">
        <v>60</v>
      </c>
      <c r="H811" t="s">
        <v>20</v>
      </c>
      <c r="I811" t="s">
        <v>13</v>
      </c>
      <c r="J811" t="s">
        <v>24</v>
      </c>
    </row>
    <row r="812" spans="1:10" x14ac:dyDescent="0.35">
      <c r="A812">
        <v>811</v>
      </c>
      <c r="B812" s="1">
        <v>44987</v>
      </c>
      <c r="C812" t="s">
        <v>10</v>
      </c>
      <c r="D812" t="s">
        <v>11</v>
      </c>
      <c r="E812" s="2">
        <v>20</v>
      </c>
      <c r="F812">
        <v>13</v>
      </c>
      <c r="G812" s="2">
        <v>260</v>
      </c>
      <c r="H812" t="s">
        <v>16</v>
      </c>
      <c r="I812" t="s">
        <v>13</v>
      </c>
      <c r="J812" t="s">
        <v>17</v>
      </c>
    </row>
    <row r="813" spans="1:10" x14ac:dyDescent="0.35">
      <c r="A813">
        <v>812</v>
      </c>
      <c r="B813" s="1">
        <v>44781</v>
      </c>
      <c r="C813" t="s">
        <v>22</v>
      </c>
      <c r="D813" t="s">
        <v>11</v>
      </c>
      <c r="E813" s="2">
        <v>20</v>
      </c>
      <c r="F813">
        <v>5</v>
      </c>
      <c r="G813" s="2">
        <v>100</v>
      </c>
      <c r="H813" t="s">
        <v>16</v>
      </c>
      <c r="I813" t="s">
        <v>13</v>
      </c>
      <c r="J813" t="s">
        <v>17</v>
      </c>
    </row>
    <row r="814" spans="1:10" x14ac:dyDescent="0.35">
      <c r="A814">
        <v>813</v>
      </c>
      <c r="B814" s="1">
        <v>44847</v>
      </c>
      <c r="C814" t="s">
        <v>22</v>
      </c>
      <c r="D814" t="s">
        <v>11</v>
      </c>
      <c r="E814" s="2">
        <v>20</v>
      </c>
      <c r="F814">
        <v>10</v>
      </c>
      <c r="G814" s="2">
        <v>200</v>
      </c>
      <c r="H814" t="s">
        <v>20</v>
      </c>
      <c r="I814" t="s">
        <v>13</v>
      </c>
      <c r="J814" t="s">
        <v>17</v>
      </c>
    </row>
    <row r="815" spans="1:10" x14ac:dyDescent="0.35">
      <c r="A815">
        <v>814</v>
      </c>
      <c r="B815" s="1">
        <v>44839</v>
      </c>
      <c r="C815" t="s">
        <v>15</v>
      </c>
      <c r="D815" t="s">
        <v>11</v>
      </c>
      <c r="E815" s="2">
        <v>20</v>
      </c>
      <c r="F815">
        <v>13</v>
      </c>
      <c r="G815" s="2">
        <v>260</v>
      </c>
      <c r="H815" t="s">
        <v>16</v>
      </c>
      <c r="I815" t="s">
        <v>23</v>
      </c>
      <c r="J815" t="s">
        <v>27</v>
      </c>
    </row>
    <row r="816" spans="1:10" x14ac:dyDescent="0.35">
      <c r="A816">
        <v>815</v>
      </c>
      <c r="B816" s="1">
        <v>44671</v>
      </c>
      <c r="C816" t="s">
        <v>28</v>
      </c>
      <c r="D816" t="s">
        <v>19</v>
      </c>
      <c r="E816" s="2">
        <v>40</v>
      </c>
      <c r="F816">
        <v>12</v>
      </c>
      <c r="G816" s="2">
        <v>480</v>
      </c>
      <c r="H816" t="s">
        <v>20</v>
      </c>
      <c r="I816" t="s">
        <v>23</v>
      </c>
      <c r="J816" t="s">
        <v>17</v>
      </c>
    </row>
    <row r="817" spans="1:10" x14ac:dyDescent="0.35">
      <c r="A817">
        <v>816</v>
      </c>
      <c r="B817" s="1">
        <v>44937</v>
      </c>
      <c r="C817" t="s">
        <v>18</v>
      </c>
      <c r="D817" t="s">
        <v>19</v>
      </c>
      <c r="E817" s="2">
        <v>25</v>
      </c>
      <c r="F817">
        <v>11</v>
      </c>
      <c r="G817" s="2">
        <v>275</v>
      </c>
      <c r="H817" t="s">
        <v>16</v>
      </c>
      <c r="I817" t="s">
        <v>13</v>
      </c>
      <c r="J817" t="s">
        <v>24</v>
      </c>
    </row>
    <row r="818" spans="1:10" x14ac:dyDescent="0.35">
      <c r="A818">
        <v>817</v>
      </c>
      <c r="B818" s="1">
        <v>44702</v>
      </c>
      <c r="C818" t="s">
        <v>10</v>
      </c>
      <c r="D818" t="s">
        <v>11</v>
      </c>
      <c r="E818" s="2">
        <v>20</v>
      </c>
      <c r="F818">
        <v>12</v>
      </c>
      <c r="G818" s="2">
        <v>240</v>
      </c>
      <c r="H818" t="s">
        <v>16</v>
      </c>
      <c r="I818" t="s">
        <v>23</v>
      </c>
      <c r="J818" t="s">
        <v>21</v>
      </c>
    </row>
    <row r="819" spans="1:10" x14ac:dyDescent="0.35">
      <c r="A819">
        <v>818</v>
      </c>
      <c r="B819" s="1">
        <v>44985</v>
      </c>
      <c r="C819" t="s">
        <v>25</v>
      </c>
      <c r="D819" t="s">
        <v>11</v>
      </c>
      <c r="E819" s="2">
        <v>50</v>
      </c>
      <c r="F819">
        <v>6</v>
      </c>
      <c r="G819" s="2">
        <v>300</v>
      </c>
      <c r="H819" t="s">
        <v>16</v>
      </c>
      <c r="I819" t="s">
        <v>13</v>
      </c>
      <c r="J819" t="s">
        <v>14</v>
      </c>
    </row>
    <row r="820" spans="1:10" x14ac:dyDescent="0.35">
      <c r="A820">
        <v>819</v>
      </c>
      <c r="B820" s="1">
        <v>44846</v>
      </c>
      <c r="C820" t="s">
        <v>15</v>
      </c>
      <c r="D820" t="s">
        <v>11</v>
      </c>
      <c r="E820" s="2">
        <v>20</v>
      </c>
      <c r="F820">
        <v>10</v>
      </c>
      <c r="G820" s="2">
        <v>200</v>
      </c>
      <c r="H820" t="s">
        <v>16</v>
      </c>
      <c r="I820" t="s">
        <v>13</v>
      </c>
      <c r="J820" t="s">
        <v>21</v>
      </c>
    </row>
    <row r="821" spans="1:10" x14ac:dyDescent="0.35">
      <c r="A821">
        <v>820</v>
      </c>
      <c r="B821" s="1">
        <v>44981</v>
      </c>
      <c r="C821" t="s">
        <v>10</v>
      </c>
      <c r="D821" t="s">
        <v>11</v>
      </c>
      <c r="E821" s="2">
        <v>20</v>
      </c>
      <c r="F821">
        <v>3</v>
      </c>
      <c r="G821" s="2">
        <v>60</v>
      </c>
      <c r="H821" t="s">
        <v>12</v>
      </c>
      <c r="I821" t="s">
        <v>13</v>
      </c>
      <c r="J821" t="s">
        <v>27</v>
      </c>
    </row>
    <row r="822" spans="1:10" x14ac:dyDescent="0.35">
      <c r="A822">
        <v>821</v>
      </c>
      <c r="B822" s="1">
        <v>44766</v>
      </c>
      <c r="C822" t="s">
        <v>10</v>
      </c>
      <c r="D822" t="s">
        <v>11</v>
      </c>
      <c r="E822" s="2">
        <v>20</v>
      </c>
      <c r="F822">
        <v>12</v>
      </c>
      <c r="G822" s="2">
        <v>240</v>
      </c>
      <c r="H822" t="s">
        <v>16</v>
      </c>
      <c r="I822" t="s">
        <v>23</v>
      </c>
      <c r="J822" t="s">
        <v>27</v>
      </c>
    </row>
    <row r="823" spans="1:10" x14ac:dyDescent="0.35">
      <c r="A823">
        <v>822</v>
      </c>
      <c r="B823" s="1">
        <v>44729</v>
      </c>
      <c r="C823" t="s">
        <v>22</v>
      </c>
      <c r="D823" t="s">
        <v>11</v>
      </c>
      <c r="E823" s="2">
        <v>20</v>
      </c>
      <c r="F823">
        <v>12</v>
      </c>
      <c r="G823" s="2">
        <v>240</v>
      </c>
      <c r="H823" t="s">
        <v>20</v>
      </c>
      <c r="I823" t="s">
        <v>13</v>
      </c>
      <c r="J823" t="s">
        <v>24</v>
      </c>
    </row>
    <row r="824" spans="1:10" x14ac:dyDescent="0.35">
      <c r="A824">
        <v>823</v>
      </c>
      <c r="B824" s="1">
        <v>44970</v>
      </c>
      <c r="C824" t="s">
        <v>22</v>
      </c>
      <c r="D824" t="s">
        <v>11</v>
      </c>
      <c r="E824" s="2">
        <v>20</v>
      </c>
      <c r="F824">
        <v>11</v>
      </c>
      <c r="G824" s="2">
        <v>220</v>
      </c>
      <c r="H824" t="s">
        <v>20</v>
      </c>
      <c r="I824" t="s">
        <v>13</v>
      </c>
      <c r="J824" t="s">
        <v>27</v>
      </c>
    </row>
    <row r="825" spans="1:10" x14ac:dyDescent="0.35">
      <c r="A825">
        <v>824</v>
      </c>
      <c r="B825" s="1">
        <v>44944</v>
      </c>
      <c r="C825" t="s">
        <v>15</v>
      </c>
      <c r="D825" t="s">
        <v>11</v>
      </c>
      <c r="E825" s="2">
        <v>20</v>
      </c>
      <c r="F825">
        <v>2</v>
      </c>
      <c r="G825" s="2">
        <v>40</v>
      </c>
      <c r="H825" t="s">
        <v>20</v>
      </c>
      <c r="I825" t="s">
        <v>23</v>
      </c>
      <c r="J825" t="s">
        <v>21</v>
      </c>
    </row>
    <row r="826" spans="1:10" x14ac:dyDescent="0.35">
      <c r="A826">
        <v>825</v>
      </c>
      <c r="B826" s="1">
        <v>44864</v>
      </c>
      <c r="C826" t="s">
        <v>22</v>
      </c>
      <c r="D826" t="s">
        <v>11</v>
      </c>
      <c r="E826" s="2">
        <v>20</v>
      </c>
      <c r="F826">
        <v>14</v>
      </c>
      <c r="G826" s="2">
        <v>280</v>
      </c>
      <c r="H826" t="s">
        <v>16</v>
      </c>
      <c r="I826" t="s">
        <v>23</v>
      </c>
      <c r="J826" t="s">
        <v>24</v>
      </c>
    </row>
    <row r="827" spans="1:10" x14ac:dyDescent="0.35">
      <c r="A827">
        <v>826</v>
      </c>
      <c r="B827" s="1">
        <v>44897</v>
      </c>
      <c r="C827" t="s">
        <v>26</v>
      </c>
      <c r="D827" t="s">
        <v>11</v>
      </c>
      <c r="E827" s="2">
        <v>60</v>
      </c>
      <c r="F827">
        <v>15</v>
      </c>
      <c r="G827" s="2">
        <v>900</v>
      </c>
      <c r="H827" t="s">
        <v>16</v>
      </c>
      <c r="I827" t="s">
        <v>23</v>
      </c>
      <c r="J827" t="s">
        <v>14</v>
      </c>
    </row>
    <row r="828" spans="1:10" x14ac:dyDescent="0.35">
      <c r="A828">
        <v>827</v>
      </c>
      <c r="B828" s="1">
        <v>44932</v>
      </c>
      <c r="C828" t="s">
        <v>26</v>
      </c>
      <c r="D828" t="s">
        <v>11</v>
      </c>
      <c r="E828" s="2">
        <v>60</v>
      </c>
      <c r="F828">
        <v>12</v>
      </c>
      <c r="G828" s="2">
        <v>720</v>
      </c>
      <c r="H828" t="s">
        <v>16</v>
      </c>
      <c r="I828" t="s">
        <v>13</v>
      </c>
      <c r="J828" t="s">
        <v>27</v>
      </c>
    </row>
    <row r="829" spans="1:10" x14ac:dyDescent="0.35">
      <c r="A829">
        <v>828</v>
      </c>
      <c r="B829" s="1">
        <v>44791</v>
      </c>
      <c r="C829" t="s">
        <v>22</v>
      </c>
      <c r="D829" t="s">
        <v>11</v>
      </c>
      <c r="E829" s="2">
        <v>20</v>
      </c>
      <c r="F829">
        <v>6</v>
      </c>
      <c r="G829" s="2">
        <v>120</v>
      </c>
      <c r="H829" t="s">
        <v>16</v>
      </c>
      <c r="I829" t="s">
        <v>13</v>
      </c>
      <c r="J829" t="s">
        <v>21</v>
      </c>
    </row>
    <row r="830" spans="1:10" x14ac:dyDescent="0.35">
      <c r="A830">
        <v>829</v>
      </c>
      <c r="B830" s="1">
        <v>44823</v>
      </c>
      <c r="C830" t="s">
        <v>28</v>
      </c>
      <c r="D830" t="s">
        <v>19</v>
      </c>
      <c r="E830" s="2">
        <v>40</v>
      </c>
      <c r="F830">
        <v>6</v>
      </c>
      <c r="G830" s="2">
        <v>240</v>
      </c>
      <c r="H830" t="s">
        <v>16</v>
      </c>
      <c r="I830" t="s">
        <v>13</v>
      </c>
      <c r="J830" t="s">
        <v>14</v>
      </c>
    </row>
    <row r="831" spans="1:10" x14ac:dyDescent="0.35">
      <c r="A831">
        <v>830</v>
      </c>
      <c r="B831" s="1">
        <v>44893</v>
      </c>
      <c r="C831" t="s">
        <v>28</v>
      </c>
      <c r="D831" t="s">
        <v>19</v>
      </c>
      <c r="E831" s="2">
        <v>40</v>
      </c>
      <c r="F831">
        <v>9</v>
      </c>
      <c r="G831" s="2">
        <v>360</v>
      </c>
      <c r="H831" t="s">
        <v>12</v>
      </c>
      <c r="I831" t="s">
        <v>13</v>
      </c>
      <c r="J831" t="s">
        <v>14</v>
      </c>
    </row>
    <row r="832" spans="1:10" x14ac:dyDescent="0.35">
      <c r="A832">
        <v>831</v>
      </c>
      <c r="B832" s="1">
        <v>44774</v>
      </c>
      <c r="C832" t="s">
        <v>25</v>
      </c>
      <c r="D832" t="s">
        <v>11</v>
      </c>
      <c r="E832" s="2">
        <v>50</v>
      </c>
      <c r="F832">
        <v>5</v>
      </c>
      <c r="G832" s="2">
        <v>250</v>
      </c>
      <c r="H832" t="s">
        <v>20</v>
      </c>
      <c r="I832" t="s">
        <v>23</v>
      </c>
      <c r="J832" t="s">
        <v>24</v>
      </c>
    </row>
    <row r="833" spans="1:10" x14ac:dyDescent="0.35">
      <c r="A833">
        <v>832</v>
      </c>
      <c r="B833" s="1">
        <v>44718</v>
      </c>
      <c r="C833" t="s">
        <v>18</v>
      </c>
      <c r="D833" t="s">
        <v>19</v>
      </c>
      <c r="E833" s="2">
        <v>25</v>
      </c>
      <c r="F833">
        <v>4</v>
      </c>
      <c r="G833" s="2">
        <v>100</v>
      </c>
      <c r="H833" t="s">
        <v>16</v>
      </c>
      <c r="I833" t="s">
        <v>13</v>
      </c>
      <c r="J833" t="s">
        <v>24</v>
      </c>
    </row>
    <row r="834" spans="1:10" x14ac:dyDescent="0.35">
      <c r="A834">
        <v>833</v>
      </c>
      <c r="B834" s="1">
        <v>44805</v>
      </c>
      <c r="C834" t="s">
        <v>22</v>
      </c>
      <c r="D834" t="s">
        <v>11</v>
      </c>
      <c r="E834" s="2">
        <v>20</v>
      </c>
      <c r="F834">
        <v>2</v>
      </c>
      <c r="G834" s="2">
        <v>40</v>
      </c>
      <c r="H834" t="s">
        <v>20</v>
      </c>
      <c r="I834" t="s">
        <v>23</v>
      </c>
      <c r="J834" t="s">
        <v>21</v>
      </c>
    </row>
    <row r="835" spans="1:10" x14ac:dyDescent="0.35">
      <c r="A835">
        <v>834</v>
      </c>
      <c r="B835" s="1">
        <v>44706</v>
      </c>
      <c r="C835" t="s">
        <v>18</v>
      </c>
      <c r="D835" t="s">
        <v>19</v>
      </c>
      <c r="E835" s="2">
        <v>25</v>
      </c>
      <c r="F835">
        <v>14</v>
      </c>
      <c r="G835" s="2">
        <v>350</v>
      </c>
      <c r="H835" t="s">
        <v>16</v>
      </c>
      <c r="I835" t="s">
        <v>13</v>
      </c>
      <c r="J835" t="s">
        <v>21</v>
      </c>
    </row>
    <row r="836" spans="1:10" x14ac:dyDescent="0.35">
      <c r="A836">
        <v>835</v>
      </c>
      <c r="B836" s="1">
        <v>44831</v>
      </c>
      <c r="C836" t="s">
        <v>18</v>
      </c>
      <c r="D836" t="s">
        <v>19</v>
      </c>
      <c r="E836" s="2">
        <v>25</v>
      </c>
      <c r="F836">
        <v>7</v>
      </c>
      <c r="G836" s="2">
        <v>175</v>
      </c>
      <c r="H836" t="s">
        <v>20</v>
      </c>
      <c r="I836" t="s">
        <v>13</v>
      </c>
      <c r="J836" t="s">
        <v>17</v>
      </c>
    </row>
    <row r="837" spans="1:10" x14ac:dyDescent="0.35">
      <c r="A837">
        <v>836</v>
      </c>
      <c r="B837" s="1">
        <v>44804</v>
      </c>
      <c r="C837" t="s">
        <v>15</v>
      </c>
      <c r="D837" t="s">
        <v>11</v>
      </c>
      <c r="E837" s="2">
        <v>20</v>
      </c>
      <c r="F837">
        <v>2</v>
      </c>
      <c r="G837" s="2">
        <v>40</v>
      </c>
      <c r="H837" t="s">
        <v>16</v>
      </c>
      <c r="I837" t="s">
        <v>23</v>
      </c>
      <c r="J837" t="s">
        <v>27</v>
      </c>
    </row>
    <row r="838" spans="1:10" x14ac:dyDescent="0.35">
      <c r="A838">
        <v>837</v>
      </c>
      <c r="B838" s="1">
        <v>44700</v>
      </c>
      <c r="C838" t="s">
        <v>10</v>
      </c>
      <c r="D838" t="s">
        <v>11</v>
      </c>
      <c r="E838" s="2">
        <v>20</v>
      </c>
      <c r="F838">
        <v>7</v>
      </c>
      <c r="G838" s="2">
        <v>140</v>
      </c>
      <c r="H838" t="s">
        <v>16</v>
      </c>
      <c r="I838" t="s">
        <v>13</v>
      </c>
      <c r="J838" t="s">
        <v>27</v>
      </c>
    </row>
    <row r="839" spans="1:10" x14ac:dyDescent="0.35">
      <c r="A839">
        <v>838</v>
      </c>
      <c r="B839" s="1">
        <v>44773</v>
      </c>
      <c r="C839" t="s">
        <v>28</v>
      </c>
      <c r="D839" t="s">
        <v>19</v>
      </c>
      <c r="E839" s="2">
        <v>40</v>
      </c>
      <c r="F839">
        <v>9</v>
      </c>
      <c r="G839" s="2">
        <v>360</v>
      </c>
      <c r="H839" t="s">
        <v>20</v>
      </c>
      <c r="I839" t="s">
        <v>23</v>
      </c>
      <c r="J839" t="s">
        <v>24</v>
      </c>
    </row>
    <row r="840" spans="1:10" x14ac:dyDescent="0.35">
      <c r="A840">
        <v>839</v>
      </c>
      <c r="B840" s="1">
        <v>44689</v>
      </c>
      <c r="C840" t="s">
        <v>18</v>
      </c>
      <c r="D840" t="s">
        <v>19</v>
      </c>
      <c r="E840" s="2">
        <v>25</v>
      </c>
      <c r="F840">
        <v>4</v>
      </c>
      <c r="G840" s="2">
        <v>100</v>
      </c>
      <c r="H840" t="s">
        <v>16</v>
      </c>
      <c r="I840" t="s">
        <v>23</v>
      </c>
      <c r="J840" t="s">
        <v>17</v>
      </c>
    </row>
    <row r="841" spans="1:10" x14ac:dyDescent="0.35">
      <c r="A841">
        <v>840</v>
      </c>
      <c r="B841" s="1">
        <v>44975</v>
      </c>
      <c r="C841" t="s">
        <v>28</v>
      </c>
      <c r="D841" t="s">
        <v>19</v>
      </c>
      <c r="E841" s="2">
        <v>40</v>
      </c>
      <c r="F841">
        <v>15</v>
      </c>
      <c r="G841" s="2">
        <v>600</v>
      </c>
      <c r="H841" t="s">
        <v>12</v>
      </c>
      <c r="I841" t="s">
        <v>23</v>
      </c>
      <c r="J841" t="s">
        <v>27</v>
      </c>
    </row>
    <row r="842" spans="1:10" x14ac:dyDescent="0.35">
      <c r="A842">
        <v>841</v>
      </c>
      <c r="B842" s="1">
        <v>44960</v>
      </c>
      <c r="C842" t="s">
        <v>15</v>
      </c>
      <c r="D842" t="s">
        <v>11</v>
      </c>
      <c r="E842" s="2">
        <v>20</v>
      </c>
      <c r="F842">
        <v>9</v>
      </c>
      <c r="G842" s="2">
        <v>180</v>
      </c>
      <c r="H842" t="s">
        <v>16</v>
      </c>
      <c r="I842" t="s">
        <v>13</v>
      </c>
      <c r="J842" t="s">
        <v>14</v>
      </c>
    </row>
    <row r="843" spans="1:10" x14ac:dyDescent="0.35">
      <c r="A843">
        <v>842</v>
      </c>
      <c r="B843" s="1">
        <v>44706</v>
      </c>
      <c r="C843" t="s">
        <v>22</v>
      </c>
      <c r="D843" t="s">
        <v>11</v>
      </c>
      <c r="E843" s="2">
        <v>20</v>
      </c>
      <c r="F843">
        <v>2</v>
      </c>
      <c r="G843" s="2">
        <v>40</v>
      </c>
      <c r="H843" t="s">
        <v>16</v>
      </c>
      <c r="I843" t="s">
        <v>23</v>
      </c>
      <c r="J843" t="s">
        <v>21</v>
      </c>
    </row>
    <row r="844" spans="1:10" x14ac:dyDescent="0.35">
      <c r="A844">
        <v>843</v>
      </c>
      <c r="B844" s="1">
        <v>44746</v>
      </c>
      <c r="C844" t="s">
        <v>18</v>
      </c>
      <c r="D844" t="s">
        <v>19</v>
      </c>
      <c r="E844" s="2">
        <v>25</v>
      </c>
      <c r="F844">
        <v>1</v>
      </c>
      <c r="G844" s="2">
        <v>25</v>
      </c>
      <c r="H844" t="s">
        <v>16</v>
      </c>
      <c r="I844" t="s">
        <v>23</v>
      </c>
      <c r="J844" t="s">
        <v>24</v>
      </c>
    </row>
    <row r="845" spans="1:10" x14ac:dyDescent="0.35">
      <c r="A845">
        <v>844</v>
      </c>
      <c r="B845" s="1">
        <v>44685</v>
      </c>
      <c r="C845" t="s">
        <v>18</v>
      </c>
      <c r="D845" t="s">
        <v>19</v>
      </c>
      <c r="E845" s="2">
        <v>25</v>
      </c>
      <c r="F845">
        <v>13</v>
      </c>
      <c r="G845" s="2">
        <v>325</v>
      </c>
      <c r="H845" t="s">
        <v>16</v>
      </c>
      <c r="I845" t="s">
        <v>13</v>
      </c>
      <c r="J845" t="s">
        <v>24</v>
      </c>
    </row>
    <row r="846" spans="1:10" x14ac:dyDescent="0.35">
      <c r="A846">
        <v>845</v>
      </c>
      <c r="B846" s="1">
        <v>44743</v>
      </c>
      <c r="C846" t="s">
        <v>28</v>
      </c>
      <c r="D846" t="s">
        <v>19</v>
      </c>
      <c r="E846" s="2">
        <v>40</v>
      </c>
      <c r="F846">
        <v>6</v>
      </c>
      <c r="G846" s="2">
        <v>240</v>
      </c>
      <c r="H846" t="s">
        <v>20</v>
      </c>
      <c r="I846" t="s">
        <v>23</v>
      </c>
      <c r="J846" t="s">
        <v>21</v>
      </c>
    </row>
    <row r="847" spans="1:10" x14ac:dyDescent="0.35">
      <c r="A847">
        <v>846</v>
      </c>
      <c r="B847" s="1">
        <v>44671</v>
      </c>
      <c r="C847" t="s">
        <v>10</v>
      </c>
      <c r="D847" t="s">
        <v>11</v>
      </c>
      <c r="E847" s="2">
        <v>20</v>
      </c>
      <c r="F847">
        <v>5</v>
      </c>
      <c r="G847" s="2">
        <v>100</v>
      </c>
      <c r="H847" t="s">
        <v>20</v>
      </c>
      <c r="I847" t="s">
        <v>13</v>
      </c>
      <c r="J847" t="s">
        <v>17</v>
      </c>
    </row>
    <row r="848" spans="1:10" x14ac:dyDescent="0.35">
      <c r="A848">
        <v>847</v>
      </c>
      <c r="B848" s="1">
        <v>44787</v>
      </c>
      <c r="C848" t="s">
        <v>22</v>
      </c>
      <c r="D848" t="s">
        <v>11</v>
      </c>
      <c r="E848" s="2">
        <v>20</v>
      </c>
      <c r="F848">
        <v>11</v>
      </c>
      <c r="G848" s="2">
        <v>220</v>
      </c>
      <c r="H848" t="s">
        <v>20</v>
      </c>
      <c r="I848" t="s">
        <v>13</v>
      </c>
      <c r="J848" t="s">
        <v>27</v>
      </c>
    </row>
    <row r="849" spans="1:10" x14ac:dyDescent="0.35">
      <c r="A849">
        <v>848</v>
      </c>
      <c r="B849" s="1">
        <v>44875</v>
      </c>
      <c r="C849" t="s">
        <v>25</v>
      </c>
      <c r="D849" t="s">
        <v>11</v>
      </c>
      <c r="E849" s="2">
        <v>50</v>
      </c>
      <c r="F849">
        <v>9</v>
      </c>
      <c r="G849" s="2">
        <v>450</v>
      </c>
      <c r="H849" t="s">
        <v>16</v>
      </c>
      <c r="I849" t="s">
        <v>13</v>
      </c>
      <c r="J849" t="s">
        <v>14</v>
      </c>
    </row>
    <row r="850" spans="1:10" x14ac:dyDescent="0.35">
      <c r="A850">
        <v>849</v>
      </c>
      <c r="B850" s="1">
        <v>44868</v>
      </c>
      <c r="C850" t="s">
        <v>28</v>
      </c>
      <c r="D850" t="s">
        <v>19</v>
      </c>
      <c r="E850" s="2">
        <v>40</v>
      </c>
      <c r="F850">
        <v>10</v>
      </c>
      <c r="G850" s="2">
        <v>400</v>
      </c>
      <c r="H850" t="s">
        <v>16</v>
      </c>
      <c r="I850" t="s">
        <v>23</v>
      </c>
      <c r="J850" t="s">
        <v>14</v>
      </c>
    </row>
    <row r="851" spans="1:10" x14ac:dyDescent="0.35">
      <c r="A851">
        <v>850</v>
      </c>
      <c r="B851" s="1">
        <v>44793</v>
      </c>
      <c r="C851" t="s">
        <v>15</v>
      </c>
      <c r="D851" t="s">
        <v>11</v>
      </c>
      <c r="E851" s="2">
        <v>20</v>
      </c>
      <c r="F851">
        <v>3</v>
      </c>
      <c r="G851" s="2">
        <v>60</v>
      </c>
      <c r="H851" t="s">
        <v>20</v>
      </c>
      <c r="I851" t="s">
        <v>23</v>
      </c>
      <c r="J851" t="s">
        <v>17</v>
      </c>
    </row>
    <row r="852" spans="1:10" x14ac:dyDescent="0.35">
      <c r="A852">
        <v>851</v>
      </c>
      <c r="B852" s="1">
        <v>44954</v>
      </c>
      <c r="C852" t="s">
        <v>10</v>
      </c>
      <c r="D852" t="s">
        <v>11</v>
      </c>
      <c r="E852" s="2">
        <v>20</v>
      </c>
      <c r="F852">
        <v>15</v>
      </c>
      <c r="G852" s="2">
        <v>300</v>
      </c>
      <c r="H852" t="s">
        <v>20</v>
      </c>
      <c r="I852" t="s">
        <v>23</v>
      </c>
      <c r="J852" t="s">
        <v>14</v>
      </c>
    </row>
    <row r="853" spans="1:10" x14ac:dyDescent="0.35">
      <c r="A853">
        <v>852</v>
      </c>
      <c r="B853" s="1">
        <v>44686</v>
      </c>
      <c r="C853" t="s">
        <v>18</v>
      </c>
      <c r="D853" t="s">
        <v>19</v>
      </c>
      <c r="E853" s="2">
        <v>25</v>
      </c>
      <c r="F853">
        <v>8</v>
      </c>
      <c r="G853" s="2">
        <v>200</v>
      </c>
      <c r="H853" t="s">
        <v>20</v>
      </c>
      <c r="I853" t="s">
        <v>13</v>
      </c>
      <c r="J853" t="s">
        <v>14</v>
      </c>
    </row>
    <row r="854" spans="1:10" x14ac:dyDescent="0.35">
      <c r="A854">
        <v>853</v>
      </c>
      <c r="B854" s="1">
        <v>44974</v>
      </c>
      <c r="C854" t="s">
        <v>28</v>
      </c>
      <c r="D854" t="s">
        <v>19</v>
      </c>
      <c r="E854" s="2">
        <v>40</v>
      </c>
      <c r="F854">
        <v>3</v>
      </c>
      <c r="G854" s="2">
        <v>120</v>
      </c>
      <c r="H854" t="s">
        <v>20</v>
      </c>
      <c r="I854" t="s">
        <v>23</v>
      </c>
      <c r="J854" t="s">
        <v>27</v>
      </c>
    </row>
    <row r="855" spans="1:10" x14ac:dyDescent="0.35">
      <c r="A855">
        <v>854</v>
      </c>
      <c r="B855" s="1">
        <v>44848</v>
      </c>
      <c r="C855" t="s">
        <v>28</v>
      </c>
      <c r="D855" t="s">
        <v>19</v>
      </c>
      <c r="E855" s="2">
        <v>40</v>
      </c>
      <c r="F855">
        <v>14</v>
      </c>
      <c r="G855" s="2">
        <v>560</v>
      </c>
      <c r="H855" t="s">
        <v>20</v>
      </c>
      <c r="I855" t="s">
        <v>23</v>
      </c>
      <c r="J855" t="s">
        <v>14</v>
      </c>
    </row>
    <row r="856" spans="1:10" x14ac:dyDescent="0.35">
      <c r="A856">
        <v>855</v>
      </c>
      <c r="B856" s="1">
        <v>44857</v>
      </c>
      <c r="C856" t="s">
        <v>15</v>
      </c>
      <c r="D856" t="s">
        <v>11</v>
      </c>
      <c r="E856" s="2">
        <v>20</v>
      </c>
      <c r="F856">
        <v>5</v>
      </c>
      <c r="G856" s="2">
        <v>100</v>
      </c>
      <c r="H856" t="s">
        <v>20</v>
      </c>
      <c r="I856" t="s">
        <v>13</v>
      </c>
      <c r="J856" t="s">
        <v>21</v>
      </c>
    </row>
    <row r="857" spans="1:10" x14ac:dyDescent="0.35">
      <c r="A857">
        <v>856</v>
      </c>
      <c r="B857" s="1">
        <v>44685</v>
      </c>
      <c r="C857" t="s">
        <v>10</v>
      </c>
      <c r="D857" t="s">
        <v>11</v>
      </c>
      <c r="E857" s="2">
        <v>20</v>
      </c>
      <c r="F857">
        <v>11</v>
      </c>
      <c r="G857" s="2">
        <v>220</v>
      </c>
      <c r="H857" t="s">
        <v>16</v>
      </c>
      <c r="I857" t="s">
        <v>23</v>
      </c>
      <c r="J857" t="s">
        <v>14</v>
      </c>
    </row>
    <row r="858" spans="1:10" x14ac:dyDescent="0.35">
      <c r="A858">
        <v>857</v>
      </c>
      <c r="B858" s="1">
        <v>44873</v>
      </c>
      <c r="C858" t="s">
        <v>18</v>
      </c>
      <c r="D858" t="s">
        <v>19</v>
      </c>
      <c r="E858" s="2">
        <v>25</v>
      </c>
      <c r="F858">
        <v>14</v>
      </c>
      <c r="G858" s="2">
        <v>350</v>
      </c>
      <c r="H858" t="s">
        <v>20</v>
      </c>
      <c r="I858" t="s">
        <v>23</v>
      </c>
      <c r="J858" t="s">
        <v>21</v>
      </c>
    </row>
    <row r="859" spans="1:10" x14ac:dyDescent="0.35">
      <c r="A859">
        <v>858</v>
      </c>
      <c r="B859" s="1">
        <v>44887</v>
      </c>
      <c r="C859" t="s">
        <v>28</v>
      </c>
      <c r="D859" t="s">
        <v>19</v>
      </c>
      <c r="E859" s="2">
        <v>40</v>
      </c>
      <c r="F859">
        <v>9</v>
      </c>
      <c r="G859" s="2">
        <v>360</v>
      </c>
      <c r="H859" t="s">
        <v>16</v>
      </c>
      <c r="I859" t="s">
        <v>13</v>
      </c>
      <c r="J859" t="s">
        <v>21</v>
      </c>
    </row>
    <row r="860" spans="1:10" x14ac:dyDescent="0.35">
      <c r="A860">
        <v>859</v>
      </c>
      <c r="B860" s="1">
        <v>44842</v>
      </c>
      <c r="C860" t="s">
        <v>26</v>
      </c>
      <c r="D860" t="s">
        <v>11</v>
      </c>
      <c r="E860" s="2">
        <v>60</v>
      </c>
      <c r="F860">
        <v>11</v>
      </c>
      <c r="G860" s="2">
        <v>660</v>
      </c>
      <c r="H860" t="s">
        <v>16</v>
      </c>
      <c r="I860" t="s">
        <v>23</v>
      </c>
      <c r="J860" t="s">
        <v>27</v>
      </c>
    </row>
    <row r="861" spans="1:10" x14ac:dyDescent="0.35">
      <c r="A861">
        <v>860</v>
      </c>
      <c r="B861" s="1">
        <v>44758</v>
      </c>
      <c r="C861" t="s">
        <v>28</v>
      </c>
      <c r="D861" t="s">
        <v>19</v>
      </c>
      <c r="E861" s="2">
        <v>40</v>
      </c>
      <c r="F861">
        <v>5</v>
      </c>
      <c r="G861" s="2">
        <v>200</v>
      </c>
      <c r="H861" t="s">
        <v>16</v>
      </c>
      <c r="I861" t="s">
        <v>13</v>
      </c>
      <c r="J861" t="s">
        <v>14</v>
      </c>
    </row>
    <row r="862" spans="1:10" x14ac:dyDescent="0.35">
      <c r="A862">
        <v>861</v>
      </c>
      <c r="B862" s="1">
        <v>44950</v>
      </c>
      <c r="C862" t="s">
        <v>18</v>
      </c>
      <c r="D862" t="s">
        <v>19</v>
      </c>
      <c r="E862" s="2">
        <v>25</v>
      </c>
      <c r="F862">
        <v>8</v>
      </c>
      <c r="G862" s="2">
        <v>200</v>
      </c>
      <c r="H862" t="s">
        <v>16</v>
      </c>
      <c r="I862" t="s">
        <v>23</v>
      </c>
      <c r="J862" t="s">
        <v>14</v>
      </c>
    </row>
    <row r="863" spans="1:10" x14ac:dyDescent="0.35">
      <c r="A863">
        <v>862</v>
      </c>
      <c r="B863" s="1">
        <v>44995</v>
      </c>
      <c r="C863" t="s">
        <v>25</v>
      </c>
      <c r="D863" t="s">
        <v>11</v>
      </c>
      <c r="E863" s="2">
        <v>50</v>
      </c>
      <c r="F863">
        <v>7</v>
      </c>
      <c r="G863" s="2">
        <v>350</v>
      </c>
      <c r="H863" t="s">
        <v>20</v>
      </c>
      <c r="I863" t="s">
        <v>13</v>
      </c>
      <c r="J863" t="s">
        <v>14</v>
      </c>
    </row>
    <row r="864" spans="1:10" x14ac:dyDescent="0.35">
      <c r="A864">
        <v>863</v>
      </c>
      <c r="B864" s="1">
        <v>44812</v>
      </c>
      <c r="C864" t="s">
        <v>25</v>
      </c>
      <c r="D864" t="s">
        <v>11</v>
      </c>
      <c r="E864" s="2">
        <v>50</v>
      </c>
      <c r="F864">
        <v>9</v>
      </c>
      <c r="G864" s="2">
        <v>450</v>
      </c>
      <c r="H864" t="s">
        <v>20</v>
      </c>
      <c r="I864" t="s">
        <v>13</v>
      </c>
      <c r="J864" t="s">
        <v>14</v>
      </c>
    </row>
    <row r="865" spans="1:10" x14ac:dyDescent="0.35">
      <c r="A865">
        <v>864</v>
      </c>
      <c r="B865" s="1">
        <v>44793</v>
      </c>
      <c r="C865" t="s">
        <v>28</v>
      </c>
      <c r="D865" t="s">
        <v>19</v>
      </c>
      <c r="E865" s="2">
        <v>40</v>
      </c>
      <c r="F865">
        <v>9</v>
      </c>
      <c r="G865" s="2">
        <v>360</v>
      </c>
      <c r="H865" t="s">
        <v>20</v>
      </c>
      <c r="I865" t="s">
        <v>13</v>
      </c>
      <c r="J865" t="s">
        <v>24</v>
      </c>
    </row>
    <row r="866" spans="1:10" x14ac:dyDescent="0.35">
      <c r="A866">
        <v>865</v>
      </c>
      <c r="B866" s="1">
        <v>44949</v>
      </c>
      <c r="C866" t="s">
        <v>18</v>
      </c>
      <c r="D866" t="s">
        <v>19</v>
      </c>
      <c r="E866" s="2">
        <v>25</v>
      </c>
      <c r="F866">
        <v>6</v>
      </c>
      <c r="G866" s="2">
        <v>150</v>
      </c>
      <c r="H866" t="s">
        <v>16</v>
      </c>
      <c r="I866" t="s">
        <v>23</v>
      </c>
      <c r="J866" t="s">
        <v>14</v>
      </c>
    </row>
    <row r="867" spans="1:10" x14ac:dyDescent="0.35">
      <c r="A867">
        <v>866</v>
      </c>
      <c r="B867" s="1">
        <v>44786</v>
      </c>
      <c r="C867" t="s">
        <v>25</v>
      </c>
      <c r="D867" t="s">
        <v>11</v>
      </c>
      <c r="E867" s="2">
        <v>50</v>
      </c>
      <c r="F867">
        <v>10</v>
      </c>
      <c r="G867" s="2">
        <v>500</v>
      </c>
      <c r="H867" t="s">
        <v>20</v>
      </c>
      <c r="I867" t="s">
        <v>13</v>
      </c>
      <c r="J867" t="s">
        <v>27</v>
      </c>
    </row>
    <row r="868" spans="1:10" x14ac:dyDescent="0.35">
      <c r="A868">
        <v>867</v>
      </c>
      <c r="B868" s="1">
        <v>44952</v>
      </c>
      <c r="C868" t="s">
        <v>25</v>
      </c>
      <c r="D868" t="s">
        <v>11</v>
      </c>
      <c r="E868" s="2">
        <v>50</v>
      </c>
      <c r="F868">
        <v>15</v>
      </c>
      <c r="G868" s="2">
        <v>750</v>
      </c>
      <c r="H868" t="s">
        <v>16</v>
      </c>
      <c r="I868" t="s">
        <v>13</v>
      </c>
      <c r="J868" t="s">
        <v>27</v>
      </c>
    </row>
    <row r="869" spans="1:10" x14ac:dyDescent="0.35">
      <c r="A869">
        <v>868</v>
      </c>
      <c r="B869" s="1">
        <v>44790</v>
      </c>
      <c r="C869" t="s">
        <v>10</v>
      </c>
      <c r="D869" t="s">
        <v>11</v>
      </c>
      <c r="E869" s="2">
        <v>20</v>
      </c>
      <c r="F869">
        <v>13</v>
      </c>
      <c r="G869" s="2">
        <v>260</v>
      </c>
      <c r="H869" t="s">
        <v>16</v>
      </c>
      <c r="I869" t="s">
        <v>23</v>
      </c>
      <c r="J869" t="s">
        <v>21</v>
      </c>
    </row>
    <row r="870" spans="1:10" x14ac:dyDescent="0.35">
      <c r="A870">
        <v>869</v>
      </c>
      <c r="B870" s="1">
        <v>44738</v>
      </c>
      <c r="C870" t="s">
        <v>22</v>
      </c>
      <c r="D870" t="s">
        <v>11</v>
      </c>
      <c r="E870" s="2">
        <v>20</v>
      </c>
      <c r="F870">
        <v>9</v>
      </c>
      <c r="G870" s="2">
        <v>180</v>
      </c>
      <c r="H870" t="s">
        <v>20</v>
      </c>
      <c r="I870" t="s">
        <v>13</v>
      </c>
      <c r="J870" t="s">
        <v>27</v>
      </c>
    </row>
    <row r="871" spans="1:10" x14ac:dyDescent="0.35">
      <c r="A871">
        <v>870</v>
      </c>
      <c r="B871" s="1">
        <v>44865</v>
      </c>
      <c r="C871" t="s">
        <v>28</v>
      </c>
      <c r="D871" t="s">
        <v>19</v>
      </c>
      <c r="E871" s="2">
        <v>40</v>
      </c>
      <c r="F871">
        <v>5</v>
      </c>
      <c r="G871" s="2">
        <v>200</v>
      </c>
      <c r="H871" t="s">
        <v>20</v>
      </c>
      <c r="I871" t="s">
        <v>23</v>
      </c>
      <c r="J871" t="s">
        <v>17</v>
      </c>
    </row>
    <row r="872" spans="1:10" x14ac:dyDescent="0.35">
      <c r="A872">
        <v>871</v>
      </c>
      <c r="B872" s="1">
        <v>44902</v>
      </c>
      <c r="C872" t="s">
        <v>15</v>
      </c>
      <c r="D872" t="s">
        <v>11</v>
      </c>
      <c r="E872" s="2">
        <v>20</v>
      </c>
      <c r="F872">
        <v>14</v>
      </c>
      <c r="G872" s="2">
        <v>280</v>
      </c>
      <c r="H872" t="s">
        <v>12</v>
      </c>
      <c r="I872" t="s">
        <v>23</v>
      </c>
      <c r="J872" t="s">
        <v>21</v>
      </c>
    </row>
    <row r="873" spans="1:10" x14ac:dyDescent="0.35">
      <c r="A873">
        <v>872</v>
      </c>
      <c r="B873" s="1">
        <v>44756</v>
      </c>
      <c r="C873" t="s">
        <v>26</v>
      </c>
      <c r="D873" t="s">
        <v>11</v>
      </c>
      <c r="E873" s="2">
        <v>60</v>
      </c>
      <c r="F873">
        <v>12</v>
      </c>
      <c r="G873" s="2">
        <v>720</v>
      </c>
      <c r="H873" t="s">
        <v>16</v>
      </c>
      <c r="I873" t="s">
        <v>13</v>
      </c>
      <c r="J873" t="s">
        <v>17</v>
      </c>
    </row>
    <row r="874" spans="1:10" x14ac:dyDescent="0.35">
      <c r="A874">
        <v>873</v>
      </c>
      <c r="B874" s="1">
        <v>44690</v>
      </c>
      <c r="C874" t="s">
        <v>18</v>
      </c>
      <c r="D874" t="s">
        <v>19</v>
      </c>
      <c r="E874" s="2">
        <v>25</v>
      </c>
      <c r="F874">
        <v>1</v>
      </c>
      <c r="G874" s="2">
        <v>25</v>
      </c>
      <c r="H874" t="s">
        <v>20</v>
      </c>
      <c r="I874" t="s">
        <v>13</v>
      </c>
      <c r="J874" t="s">
        <v>14</v>
      </c>
    </row>
    <row r="875" spans="1:10" x14ac:dyDescent="0.35">
      <c r="A875">
        <v>874</v>
      </c>
      <c r="B875" s="1">
        <v>44690</v>
      </c>
      <c r="C875" t="s">
        <v>28</v>
      </c>
      <c r="D875" t="s">
        <v>19</v>
      </c>
      <c r="E875" s="2">
        <v>40</v>
      </c>
      <c r="F875">
        <v>4</v>
      </c>
      <c r="G875" s="2">
        <v>160</v>
      </c>
      <c r="H875" t="s">
        <v>16</v>
      </c>
      <c r="I875" t="s">
        <v>13</v>
      </c>
      <c r="J875" t="s">
        <v>27</v>
      </c>
    </row>
    <row r="876" spans="1:10" x14ac:dyDescent="0.35">
      <c r="A876">
        <v>875</v>
      </c>
      <c r="B876" s="1">
        <v>44778</v>
      </c>
      <c r="C876" t="s">
        <v>15</v>
      </c>
      <c r="D876" t="s">
        <v>11</v>
      </c>
      <c r="E876" s="2">
        <v>20</v>
      </c>
      <c r="F876">
        <v>15</v>
      </c>
      <c r="G876" s="2">
        <v>300</v>
      </c>
      <c r="H876" t="s">
        <v>16</v>
      </c>
      <c r="I876" t="s">
        <v>13</v>
      </c>
      <c r="J876" t="s">
        <v>21</v>
      </c>
    </row>
    <row r="877" spans="1:10" x14ac:dyDescent="0.35">
      <c r="A877">
        <v>876</v>
      </c>
      <c r="B877" s="1">
        <v>44722</v>
      </c>
      <c r="C877" t="s">
        <v>28</v>
      </c>
      <c r="D877" t="s">
        <v>19</v>
      </c>
      <c r="E877" s="2">
        <v>40</v>
      </c>
      <c r="F877">
        <v>8</v>
      </c>
      <c r="G877" s="2">
        <v>320</v>
      </c>
      <c r="H877" t="s">
        <v>20</v>
      </c>
      <c r="I877" t="s">
        <v>23</v>
      </c>
      <c r="J877" t="s">
        <v>21</v>
      </c>
    </row>
    <row r="878" spans="1:10" x14ac:dyDescent="0.35">
      <c r="A878">
        <v>877</v>
      </c>
      <c r="B878" s="1">
        <v>44861</v>
      </c>
      <c r="C878" t="s">
        <v>18</v>
      </c>
      <c r="D878" t="s">
        <v>19</v>
      </c>
      <c r="E878" s="2">
        <v>25</v>
      </c>
      <c r="F878">
        <v>14</v>
      </c>
      <c r="G878" s="2">
        <v>350</v>
      </c>
      <c r="H878" t="s">
        <v>16</v>
      </c>
      <c r="I878" t="s">
        <v>23</v>
      </c>
      <c r="J878" t="s">
        <v>17</v>
      </c>
    </row>
    <row r="879" spans="1:10" x14ac:dyDescent="0.35">
      <c r="A879">
        <v>878</v>
      </c>
      <c r="B879" s="1">
        <v>44785</v>
      </c>
      <c r="C879" t="s">
        <v>26</v>
      </c>
      <c r="D879" t="s">
        <v>11</v>
      </c>
      <c r="E879" s="2">
        <v>60</v>
      </c>
      <c r="F879">
        <v>6</v>
      </c>
      <c r="G879" s="2">
        <v>360</v>
      </c>
      <c r="H879" t="s">
        <v>20</v>
      </c>
      <c r="I879" t="s">
        <v>13</v>
      </c>
      <c r="J879" t="s">
        <v>21</v>
      </c>
    </row>
    <row r="880" spans="1:10" x14ac:dyDescent="0.35">
      <c r="A880">
        <v>879</v>
      </c>
      <c r="B880" s="1">
        <v>44871</v>
      </c>
      <c r="C880" t="s">
        <v>28</v>
      </c>
      <c r="D880" t="s">
        <v>19</v>
      </c>
      <c r="E880" s="2">
        <v>40</v>
      </c>
      <c r="F880">
        <v>9</v>
      </c>
      <c r="G880" s="2">
        <v>360</v>
      </c>
      <c r="H880" t="s">
        <v>16</v>
      </c>
      <c r="I880" t="s">
        <v>23</v>
      </c>
      <c r="J880" t="s">
        <v>21</v>
      </c>
    </row>
    <row r="881" spans="1:10" x14ac:dyDescent="0.35">
      <c r="A881">
        <v>880</v>
      </c>
      <c r="B881" s="1">
        <v>44737</v>
      </c>
      <c r="C881" t="s">
        <v>18</v>
      </c>
      <c r="D881" t="s">
        <v>19</v>
      </c>
      <c r="E881" s="2">
        <v>25</v>
      </c>
      <c r="F881">
        <v>5</v>
      </c>
      <c r="G881" s="2">
        <v>125</v>
      </c>
      <c r="H881" t="s">
        <v>16</v>
      </c>
      <c r="I881" t="s">
        <v>23</v>
      </c>
      <c r="J881" t="s">
        <v>24</v>
      </c>
    </row>
    <row r="882" spans="1:10" x14ac:dyDescent="0.35">
      <c r="A882">
        <v>881</v>
      </c>
      <c r="B882" s="1">
        <v>44706</v>
      </c>
      <c r="C882" t="s">
        <v>26</v>
      </c>
      <c r="D882" t="s">
        <v>11</v>
      </c>
      <c r="E882" s="2">
        <v>60</v>
      </c>
      <c r="F882">
        <v>2</v>
      </c>
      <c r="G882" s="2">
        <v>120</v>
      </c>
      <c r="H882" t="s">
        <v>16</v>
      </c>
      <c r="I882" t="s">
        <v>13</v>
      </c>
      <c r="J882" t="s">
        <v>27</v>
      </c>
    </row>
    <row r="883" spans="1:10" x14ac:dyDescent="0.35">
      <c r="A883">
        <v>882</v>
      </c>
      <c r="B883" s="1">
        <v>44674</v>
      </c>
      <c r="C883" t="s">
        <v>22</v>
      </c>
      <c r="D883" t="s">
        <v>11</v>
      </c>
      <c r="E883" s="2">
        <v>20</v>
      </c>
      <c r="F883">
        <v>9</v>
      </c>
      <c r="G883" s="2">
        <v>180</v>
      </c>
      <c r="H883" t="s">
        <v>20</v>
      </c>
      <c r="I883" t="s">
        <v>13</v>
      </c>
      <c r="J883" t="s">
        <v>24</v>
      </c>
    </row>
    <row r="884" spans="1:10" x14ac:dyDescent="0.35">
      <c r="A884">
        <v>883</v>
      </c>
      <c r="B884" s="1">
        <v>44797</v>
      </c>
      <c r="C884" t="s">
        <v>10</v>
      </c>
      <c r="D884" t="s">
        <v>11</v>
      </c>
      <c r="E884" s="2">
        <v>20</v>
      </c>
      <c r="F884">
        <v>5</v>
      </c>
      <c r="G884" s="2">
        <v>100</v>
      </c>
      <c r="H884" t="s">
        <v>20</v>
      </c>
      <c r="I884" t="s">
        <v>23</v>
      </c>
      <c r="J884" t="s">
        <v>27</v>
      </c>
    </row>
    <row r="885" spans="1:10" x14ac:dyDescent="0.35">
      <c r="A885">
        <v>884</v>
      </c>
      <c r="B885" s="1">
        <v>44986</v>
      </c>
      <c r="C885" t="s">
        <v>15</v>
      </c>
      <c r="D885" t="s">
        <v>11</v>
      </c>
      <c r="E885" s="2">
        <v>20</v>
      </c>
      <c r="F885">
        <v>12</v>
      </c>
      <c r="G885" s="2">
        <v>240</v>
      </c>
      <c r="H885" t="s">
        <v>20</v>
      </c>
      <c r="I885" t="s">
        <v>13</v>
      </c>
      <c r="J885" t="s">
        <v>14</v>
      </c>
    </row>
    <row r="886" spans="1:10" x14ac:dyDescent="0.35">
      <c r="A886">
        <v>885</v>
      </c>
      <c r="B886" s="1">
        <v>44850</v>
      </c>
      <c r="C886" t="s">
        <v>18</v>
      </c>
      <c r="D886" t="s">
        <v>19</v>
      </c>
      <c r="E886" s="2">
        <v>25</v>
      </c>
      <c r="F886">
        <v>4</v>
      </c>
      <c r="G886" s="2">
        <v>100</v>
      </c>
      <c r="H886" t="s">
        <v>16</v>
      </c>
      <c r="I886" t="s">
        <v>13</v>
      </c>
      <c r="J886" t="s">
        <v>21</v>
      </c>
    </row>
    <row r="887" spans="1:10" x14ac:dyDescent="0.35">
      <c r="A887">
        <v>886</v>
      </c>
      <c r="B887" s="1">
        <v>44763</v>
      </c>
      <c r="C887" t="s">
        <v>18</v>
      </c>
      <c r="D887" t="s">
        <v>19</v>
      </c>
      <c r="E887" s="2">
        <v>25</v>
      </c>
      <c r="F887">
        <v>4</v>
      </c>
      <c r="G887" s="2">
        <v>100</v>
      </c>
      <c r="H887" t="s">
        <v>16</v>
      </c>
      <c r="I887" t="s">
        <v>23</v>
      </c>
      <c r="J887" t="s">
        <v>14</v>
      </c>
    </row>
    <row r="888" spans="1:10" x14ac:dyDescent="0.35">
      <c r="A888">
        <v>887</v>
      </c>
      <c r="B888" s="1">
        <v>44858</v>
      </c>
      <c r="C888" t="s">
        <v>10</v>
      </c>
      <c r="D888" t="s">
        <v>11</v>
      </c>
      <c r="E888" s="2">
        <v>20</v>
      </c>
      <c r="F888">
        <v>3</v>
      </c>
      <c r="G888" s="2">
        <v>60</v>
      </c>
      <c r="H888" t="s">
        <v>16</v>
      </c>
      <c r="I888" t="s">
        <v>13</v>
      </c>
      <c r="J888" t="s">
        <v>24</v>
      </c>
    </row>
    <row r="889" spans="1:10" x14ac:dyDescent="0.35">
      <c r="A889">
        <v>888</v>
      </c>
      <c r="B889" s="1">
        <v>44809</v>
      </c>
      <c r="C889" t="s">
        <v>15</v>
      </c>
      <c r="D889" t="s">
        <v>11</v>
      </c>
      <c r="E889" s="2">
        <v>20</v>
      </c>
      <c r="F889">
        <v>8</v>
      </c>
      <c r="G889" s="2">
        <v>160</v>
      </c>
      <c r="H889" t="s">
        <v>16</v>
      </c>
      <c r="I889" t="s">
        <v>13</v>
      </c>
      <c r="J889" t="s">
        <v>21</v>
      </c>
    </row>
    <row r="890" spans="1:10" x14ac:dyDescent="0.35">
      <c r="A890">
        <v>889</v>
      </c>
      <c r="B890" s="1">
        <v>44663</v>
      </c>
      <c r="C890" t="s">
        <v>15</v>
      </c>
      <c r="D890" t="s">
        <v>11</v>
      </c>
      <c r="E890" s="2">
        <v>20</v>
      </c>
      <c r="F890">
        <v>10</v>
      </c>
      <c r="G890" s="2">
        <v>200</v>
      </c>
      <c r="H890" t="s">
        <v>20</v>
      </c>
      <c r="I890" t="s">
        <v>13</v>
      </c>
      <c r="J890" t="s">
        <v>27</v>
      </c>
    </row>
    <row r="891" spans="1:10" x14ac:dyDescent="0.35">
      <c r="A891">
        <v>890</v>
      </c>
      <c r="B891" s="1">
        <v>44988</v>
      </c>
      <c r="C891" t="s">
        <v>18</v>
      </c>
      <c r="D891" t="s">
        <v>19</v>
      </c>
      <c r="E891" s="2">
        <v>25</v>
      </c>
      <c r="F891">
        <v>5</v>
      </c>
      <c r="G891" s="2">
        <v>125</v>
      </c>
      <c r="H891" t="s">
        <v>16</v>
      </c>
      <c r="I891" t="s">
        <v>23</v>
      </c>
      <c r="J891" t="s">
        <v>24</v>
      </c>
    </row>
    <row r="892" spans="1:10" x14ac:dyDescent="0.35">
      <c r="A892">
        <v>891</v>
      </c>
      <c r="B892" s="1">
        <v>44922</v>
      </c>
      <c r="C892" t="s">
        <v>28</v>
      </c>
      <c r="D892" t="s">
        <v>19</v>
      </c>
      <c r="E892" s="2">
        <v>40</v>
      </c>
      <c r="F892">
        <v>11</v>
      </c>
      <c r="G892" s="2">
        <v>440</v>
      </c>
      <c r="H892" t="s">
        <v>16</v>
      </c>
      <c r="I892" t="s">
        <v>13</v>
      </c>
      <c r="J892" t="s">
        <v>27</v>
      </c>
    </row>
    <row r="893" spans="1:10" x14ac:dyDescent="0.35">
      <c r="A893">
        <v>892</v>
      </c>
      <c r="B893" s="1">
        <v>44756</v>
      </c>
      <c r="C893" t="s">
        <v>18</v>
      </c>
      <c r="D893" t="s">
        <v>19</v>
      </c>
      <c r="E893" s="2">
        <v>25</v>
      </c>
      <c r="F893">
        <v>7</v>
      </c>
      <c r="G893" s="2">
        <v>175</v>
      </c>
      <c r="H893" t="s">
        <v>20</v>
      </c>
      <c r="I893" t="s">
        <v>23</v>
      </c>
      <c r="J893" t="s">
        <v>21</v>
      </c>
    </row>
    <row r="894" spans="1:10" x14ac:dyDescent="0.35">
      <c r="A894">
        <v>893</v>
      </c>
      <c r="B894" s="1">
        <v>44755</v>
      </c>
      <c r="C894" t="s">
        <v>18</v>
      </c>
      <c r="D894" t="s">
        <v>19</v>
      </c>
      <c r="E894" s="2">
        <v>25</v>
      </c>
      <c r="F894">
        <v>12</v>
      </c>
      <c r="G894" s="2">
        <v>300</v>
      </c>
      <c r="H894" t="s">
        <v>16</v>
      </c>
      <c r="I894" t="s">
        <v>23</v>
      </c>
      <c r="J894" t="s">
        <v>17</v>
      </c>
    </row>
    <row r="895" spans="1:10" x14ac:dyDescent="0.35">
      <c r="A895">
        <v>894</v>
      </c>
      <c r="B895" s="1">
        <v>45004</v>
      </c>
      <c r="C895" t="s">
        <v>26</v>
      </c>
      <c r="D895" t="s">
        <v>11</v>
      </c>
      <c r="E895" s="2">
        <v>60</v>
      </c>
      <c r="F895">
        <v>15</v>
      </c>
      <c r="G895" s="2">
        <v>900</v>
      </c>
      <c r="H895" t="s">
        <v>16</v>
      </c>
      <c r="I895" t="s">
        <v>13</v>
      </c>
      <c r="J895" t="s">
        <v>24</v>
      </c>
    </row>
    <row r="896" spans="1:10" x14ac:dyDescent="0.35">
      <c r="A896">
        <v>895</v>
      </c>
      <c r="B896" s="1">
        <v>44929</v>
      </c>
      <c r="C896" t="s">
        <v>18</v>
      </c>
      <c r="D896" t="s">
        <v>19</v>
      </c>
      <c r="E896" s="2">
        <v>25</v>
      </c>
      <c r="F896">
        <v>11</v>
      </c>
      <c r="G896" s="2">
        <v>275</v>
      </c>
      <c r="H896" t="s">
        <v>16</v>
      </c>
      <c r="I896" t="s">
        <v>13</v>
      </c>
      <c r="J896" t="s">
        <v>17</v>
      </c>
    </row>
    <row r="897" spans="1:10" x14ac:dyDescent="0.35">
      <c r="A897">
        <v>896</v>
      </c>
      <c r="B897" s="1">
        <v>44864</v>
      </c>
      <c r="C897" t="s">
        <v>10</v>
      </c>
      <c r="D897" t="s">
        <v>11</v>
      </c>
      <c r="E897" s="2">
        <v>20</v>
      </c>
      <c r="F897">
        <v>13</v>
      </c>
      <c r="G897" s="2">
        <v>260</v>
      </c>
      <c r="H897" t="s">
        <v>16</v>
      </c>
      <c r="I897" t="s">
        <v>13</v>
      </c>
      <c r="J897" t="s">
        <v>14</v>
      </c>
    </row>
    <row r="898" spans="1:10" x14ac:dyDescent="0.35">
      <c r="A898">
        <v>897</v>
      </c>
      <c r="B898" s="1">
        <v>44795</v>
      </c>
      <c r="C898" t="s">
        <v>10</v>
      </c>
      <c r="D898" t="s">
        <v>11</v>
      </c>
      <c r="E898" s="2">
        <v>20</v>
      </c>
      <c r="F898">
        <v>6</v>
      </c>
      <c r="G898" s="2">
        <v>120</v>
      </c>
      <c r="H898" t="s">
        <v>20</v>
      </c>
      <c r="I898" t="s">
        <v>13</v>
      </c>
      <c r="J898" t="s">
        <v>24</v>
      </c>
    </row>
    <row r="899" spans="1:10" x14ac:dyDescent="0.35">
      <c r="A899">
        <v>898</v>
      </c>
      <c r="B899" s="1">
        <v>44987</v>
      </c>
      <c r="C899" t="s">
        <v>25</v>
      </c>
      <c r="D899" t="s">
        <v>11</v>
      </c>
      <c r="E899" s="2">
        <v>50</v>
      </c>
      <c r="F899">
        <v>8</v>
      </c>
      <c r="G899" s="2">
        <v>400</v>
      </c>
      <c r="H899" t="s">
        <v>16</v>
      </c>
      <c r="I899" t="s">
        <v>13</v>
      </c>
      <c r="J899" t="s">
        <v>17</v>
      </c>
    </row>
    <row r="900" spans="1:10" x14ac:dyDescent="0.35">
      <c r="A900">
        <v>899</v>
      </c>
      <c r="B900" s="1">
        <v>44950</v>
      </c>
      <c r="C900" t="s">
        <v>10</v>
      </c>
      <c r="D900" t="s">
        <v>11</v>
      </c>
      <c r="E900" s="2">
        <v>20</v>
      </c>
      <c r="F900">
        <v>7</v>
      </c>
      <c r="G900" s="2">
        <v>140</v>
      </c>
      <c r="H900" t="s">
        <v>16</v>
      </c>
      <c r="I900" t="s">
        <v>13</v>
      </c>
      <c r="J900" t="s">
        <v>27</v>
      </c>
    </row>
    <row r="901" spans="1:10" x14ac:dyDescent="0.35">
      <c r="A901">
        <v>900</v>
      </c>
      <c r="B901" s="1">
        <v>44902</v>
      </c>
      <c r="C901" t="s">
        <v>18</v>
      </c>
      <c r="D901" t="s">
        <v>19</v>
      </c>
      <c r="E901" s="2">
        <v>25</v>
      </c>
      <c r="F901">
        <v>9</v>
      </c>
      <c r="G901" s="2">
        <v>225</v>
      </c>
      <c r="H901" t="s">
        <v>20</v>
      </c>
      <c r="I901" t="s">
        <v>13</v>
      </c>
      <c r="J901" t="s">
        <v>17</v>
      </c>
    </row>
    <row r="902" spans="1:10" x14ac:dyDescent="0.35">
      <c r="A902">
        <v>901</v>
      </c>
      <c r="B902" s="1">
        <v>44919</v>
      </c>
      <c r="C902" t="s">
        <v>15</v>
      </c>
      <c r="D902" t="s">
        <v>11</v>
      </c>
      <c r="E902" s="2">
        <v>20</v>
      </c>
      <c r="F902">
        <v>7</v>
      </c>
      <c r="G902" s="2">
        <v>140</v>
      </c>
      <c r="H902" t="s">
        <v>20</v>
      </c>
      <c r="I902" t="s">
        <v>23</v>
      </c>
      <c r="J902" t="s">
        <v>24</v>
      </c>
    </row>
    <row r="903" spans="1:10" x14ac:dyDescent="0.35">
      <c r="A903">
        <v>902</v>
      </c>
      <c r="B903" s="1">
        <v>44888</v>
      </c>
      <c r="C903" t="s">
        <v>25</v>
      </c>
      <c r="D903" t="s">
        <v>11</v>
      </c>
      <c r="E903" s="2">
        <v>50</v>
      </c>
      <c r="F903">
        <v>4</v>
      </c>
      <c r="G903" s="2">
        <v>200</v>
      </c>
      <c r="H903" t="s">
        <v>20</v>
      </c>
      <c r="I903" t="s">
        <v>13</v>
      </c>
      <c r="J903" t="s">
        <v>17</v>
      </c>
    </row>
    <row r="904" spans="1:10" x14ac:dyDescent="0.35">
      <c r="A904">
        <v>903</v>
      </c>
      <c r="B904" s="1">
        <v>44927</v>
      </c>
      <c r="C904" t="s">
        <v>10</v>
      </c>
      <c r="D904" t="s">
        <v>11</v>
      </c>
      <c r="E904" s="2">
        <v>20</v>
      </c>
      <c r="F904">
        <v>15</v>
      </c>
      <c r="G904" s="2">
        <v>300</v>
      </c>
      <c r="H904" t="s">
        <v>20</v>
      </c>
      <c r="I904" t="s">
        <v>13</v>
      </c>
      <c r="J904" t="s">
        <v>14</v>
      </c>
    </row>
    <row r="905" spans="1:10" x14ac:dyDescent="0.35">
      <c r="A905">
        <v>904</v>
      </c>
      <c r="B905" s="1">
        <v>44997</v>
      </c>
      <c r="C905" t="s">
        <v>10</v>
      </c>
      <c r="D905" t="s">
        <v>11</v>
      </c>
      <c r="E905" s="2">
        <v>20</v>
      </c>
      <c r="F905">
        <v>4</v>
      </c>
      <c r="G905" s="2">
        <v>80</v>
      </c>
      <c r="H905" t="s">
        <v>16</v>
      </c>
      <c r="I905" t="s">
        <v>23</v>
      </c>
      <c r="J905" t="s">
        <v>27</v>
      </c>
    </row>
    <row r="906" spans="1:10" x14ac:dyDescent="0.35">
      <c r="A906">
        <v>905</v>
      </c>
      <c r="B906" s="1">
        <v>44908</v>
      </c>
      <c r="C906" t="s">
        <v>25</v>
      </c>
      <c r="D906" t="s">
        <v>11</v>
      </c>
      <c r="E906" s="2">
        <v>50</v>
      </c>
      <c r="F906">
        <v>15</v>
      </c>
      <c r="G906" s="2">
        <v>750</v>
      </c>
      <c r="H906" t="s">
        <v>16</v>
      </c>
      <c r="I906" t="s">
        <v>23</v>
      </c>
      <c r="J906" t="s">
        <v>27</v>
      </c>
    </row>
    <row r="907" spans="1:10" x14ac:dyDescent="0.35">
      <c r="A907">
        <v>906</v>
      </c>
      <c r="B907" s="1">
        <v>44655</v>
      </c>
      <c r="C907" t="s">
        <v>26</v>
      </c>
      <c r="D907" t="s">
        <v>11</v>
      </c>
      <c r="E907" s="2">
        <v>60</v>
      </c>
      <c r="F907">
        <v>15</v>
      </c>
      <c r="G907" s="2">
        <v>900</v>
      </c>
      <c r="H907" t="s">
        <v>16</v>
      </c>
      <c r="I907" t="s">
        <v>13</v>
      </c>
      <c r="J907" t="s">
        <v>17</v>
      </c>
    </row>
    <row r="908" spans="1:10" x14ac:dyDescent="0.35">
      <c r="A908">
        <v>907</v>
      </c>
      <c r="B908" s="1">
        <v>44853</v>
      </c>
      <c r="C908" t="s">
        <v>28</v>
      </c>
      <c r="D908" t="s">
        <v>19</v>
      </c>
      <c r="E908" s="2">
        <v>40</v>
      </c>
      <c r="F908">
        <v>4</v>
      </c>
      <c r="G908" s="2">
        <v>160</v>
      </c>
      <c r="H908" t="s">
        <v>12</v>
      </c>
      <c r="I908" t="s">
        <v>23</v>
      </c>
      <c r="J908" t="s">
        <v>27</v>
      </c>
    </row>
    <row r="909" spans="1:10" x14ac:dyDescent="0.35">
      <c r="A909">
        <v>908</v>
      </c>
      <c r="B909" s="1">
        <v>44991</v>
      </c>
      <c r="C909" t="s">
        <v>26</v>
      </c>
      <c r="D909" t="s">
        <v>11</v>
      </c>
      <c r="E909" s="2">
        <v>60</v>
      </c>
      <c r="F909">
        <v>7</v>
      </c>
      <c r="G909" s="2">
        <v>420</v>
      </c>
      <c r="H909" t="s">
        <v>16</v>
      </c>
      <c r="I909" t="s">
        <v>23</v>
      </c>
      <c r="J909" t="s">
        <v>14</v>
      </c>
    </row>
    <row r="910" spans="1:10" x14ac:dyDescent="0.35">
      <c r="A910">
        <v>909</v>
      </c>
      <c r="B910" s="1">
        <v>44978</v>
      </c>
      <c r="C910" t="s">
        <v>28</v>
      </c>
      <c r="D910" t="s">
        <v>19</v>
      </c>
      <c r="E910" s="2">
        <v>40</v>
      </c>
      <c r="F910">
        <v>12</v>
      </c>
      <c r="G910" s="2">
        <v>480</v>
      </c>
      <c r="H910" t="s">
        <v>20</v>
      </c>
      <c r="I910" t="s">
        <v>23</v>
      </c>
      <c r="J910" t="s">
        <v>24</v>
      </c>
    </row>
    <row r="911" spans="1:10" x14ac:dyDescent="0.35">
      <c r="A911">
        <v>910</v>
      </c>
      <c r="B911" s="1">
        <v>44843</v>
      </c>
      <c r="C911" t="s">
        <v>22</v>
      </c>
      <c r="D911" t="s">
        <v>11</v>
      </c>
      <c r="E911" s="2">
        <v>20</v>
      </c>
      <c r="F911">
        <v>1</v>
      </c>
      <c r="G911" s="2">
        <v>20</v>
      </c>
      <c r="H911" t="s">
        <v>16</v>
      </c>
      <c r="I911" t="s">
        <v>23</v>
      </c>
      <c r="J911" t="s">
        <v>17</v>
      </c>
    </row>
    <row r="912" spans="1:10" x14ac:dyDescent="0.35">
      <c r="A912">
        <v>911</v>
      </c>
      <c r="B912" s="1">
        <v>44660</v>
      </c>
      <c r="C912" t="s">
        <v>26</v>
      </c>
      <c r="D912" t="s">
        <v>11</v>
      </c>
      <c r="E912" s="2">
        <v>60</v>
      </c>
      <c r="F912">
        <v>1</v>
      </c>
      <c r="G912" s="2">
        <v>60</v>
      </c>
      <c r="H912" t="s">
        <v>16</v>
      </c>
      <c r="I912" t="s">
        <v>13</v>
      </c>
      <c r="J912" t="s">
        <v>21</v>
      </c>
    </row>
    <row r="913" spans="1:10" x14ac:dyDescent="0.35">
      <c r="A913">
        <v>912</v>
      </c>
      <c r="B913" s="1">
        <v>44821</v>
      </c>
      <c r="C913" t="s">
        <v>10</v>
      </c>
      <c r="D913" t="s">
        <v>11</v>
      </c>
      <c r="E913" s="2">
        <v>20</v>
      </c>
      <c r="F913">
        <v>6</v>
      </c>
      <c r="G913" s="2">
        <v>120</v>
      </c>
      <c r="H913" t="s">
        <v>16</v>
      </c>
      <c r="I913" t="s">
        <v>13</v>
      </c>
      <c r="J913" t="s">
        <v>21</v>
      </c>
    </row>
    <row r="914" spans="1:10" x14ac:dyDescent="0.35">
      <c r="A914">
        <v>913</v>
      </c>
      <c r="B914" s="1">
        <v>44972</v>
      </c>
      <c r="C914" t="s">
        <v>25</v>
      </c>
      <c r="D914" t="s">
        <v>11</v>
      </c>
      <c r="E914" s="2">
        <v>50</v>
      </c>
      <c r="F914">
        <v>15</v>
      </c>
      <c r="G914" s="2">
        <v>750</v>
      </c>
      <c r="H914" t="s">
        <v>20</v>
      </c>
      <c r="I914" t="s">
        <v>13</v>
      </c>
      <c r="J914" t="s">
        <v>21</v>
      </c>
    </row>
    <row r="915" spans="1:10" x14ac:dyDescent="0.35">
      <c r="A915">
        <v>914</v>
      </c>
      <c r="B915" s="1">
        <v>44986</v>
      </c>
      <c r="C915" t="s">
        <v>26</v>
      </c>
      <c r="D915" t="s">
        <v>11</v>
      </c>
      <c r="E915" s="2">
        <v>60</v>
      </c>
      <c r="F915">
        <v>14</v>
      </c>
      <c r="G915" s="2">
        <v>840</v>
      </c>
      <c r="H915" t="s">
        <v>16</v>
      </c>
      <c r="I915" t="s">
        <v>13</v>
      </c>
      <c r="J915" t="s">
        <v>14</v>
      </c>
    </row>
    <row r="916" spans="1:10" x14ac:dyDescent="0.35">
      <c r="A916">
        <v>915</v>
      </c>
      <c r="B916" s="1">
        <v>44841</v>
      </c>
      <c r="C916" t="s">
        <v>28</v>
      </c>
      <c r="D916" t="s">
        <v>19</v>
      </c>
      <c r="E916" s="2">
        <v>40</v>
      </c>
      <c r="F916">
        <v>7</v>
      </c>
      <c r="G916" s="2">
        <v>280</v>
      </c>
      <c r="H916" t="s">
        <v>20</v>
      </c>
      <c r="I916" t="s">
        <v>13</v>
      </c>
      <c r="J916" t="s">
        <v>17</v>
      </c>
    </row>
    <row r="917" spans="1:10" x14ac:dyDescent="0.35">
      <c r="A917">
        <v>916</v>
      </c>
      <c r="B917" s="1">
        <v>44882</v>
      </c>
      <c r="C917" t="s">
        <v>28</v>
      </c>
      <c r="D917" t="s">
        <v>19</v>
      </c>
      <c r="E917" s="2">
        <v>40</v>
      </c>
      <c r="F917">
        <v>15</v>
      </c>
      <c r="G917" s="2">
        <v>600</v>
      </c>
      <c r="H917" t="s">
        <v>12</v>
      </c>
      <c r="I917" t="s">
        <v>23</v>
      </c>
      <c r="J917" t="s">
        <v>17</v>
      </c>
    </row>
    <row r="918" spans="1:10" x14ac:dyDescent="0.35">
      <c r="A918">
        <v>917</v>
      </c>
      <c r="B918" s="1">
        <v>44696</v>
      </c>
      <c r="C918" t="s">
        <v>15</v>
      </c>
      <c r="D918" t="s">
        <v>11</v>
      </c>
      <c r="E918" s="2">
        <v>20</v>
      </c>
      <c r="F918">
        <v>15</v>
      </c>
      <c r="G918" s="2">
        <v>300</v>
      </c>
      <c r="H918" t="s">
        <v>20</v>
      </c>
      <c r="I918" t="s">
        <v>13</v>
      </c>
      <c r="J918" t="s">
        <v>21</v>
      </c>
    </row>
    <row r="919" spans="1:10" x14ac:dyDescent="0.35">
      <c r="A919">
        <v>918</v>
      </c>
      <c r="B919" s="1">
        <v>44877</v>
      </c>
      <c r="C919" t="s">
        <v>22</v>
      </c>
      <c r="D919" t="s">
        <v>11</v>
      </c>
      <c r="E919" s="2">
        <v>20</v>
      </c>
      <c r="F919">
        <v>6</v>
      </c>
      <c r="G919" s="2">
        <v>120</v>
      </c>
      <c r="H919" t="s">
        <v>16</v>
      </c>
      <c r="I919" t="s">
        <v>13</v>
      </c>
      <c r="J919" t="s">
        <v>21</v>
      </c>
    </row>
    <row r="920" spans="1:10" x14ac:dyDescent="0.35">
      <c r="A920">
        <v>919</v>
      </c>
      <c r="B920" s="1">
        <v>44929</v>
      </c>
      <c r="C920" t="s">
        <v>15</v>
      </c>
      <c r="D920" t="s">
        <v>11</v>
      </c>
      <c r="E920" s="2">
        <v>20</v>
      </c>
      <c r="F920">
        <v>8</v>
      </c>
      <c r="G920" s="2">
        <v>160</v>
      </c>
      <c r="H920" t="s">
        <v>20</v>
      </c>
      <c r="I920" t="s">
        <v>23</v>
      </c>
      <c r="J920" t="s">
        <v>21</v>
      </c>
    </row>
    <row r="921" spans="1:10" x14ac:dyDescent="0.35">
      <c r="A921">
        <v>920</v>
      </c>
      <c r="B921" s="1">
        <v>44754</v>
      </c>
      <c r="C921" t="s">
        <v>25</v>
      </c>
      <c r="D921" t="s">
        <v>11</v>
      </c>
      <c r="E921" s="2">
        <v>50</v>
      </c>
      <c r="F921">
        <v>13</v>
      </c>
      <c r="G921" s="2">
        <v>650</v>
      </c>
      <c r="H921" t="s">
        <v>20</v>
      </c>
      <c r="I921" t="s">
        <v>13</v>
      </c>
      <c r="J921" t="s">
        <v>21</v>
      </c>
    </row>
    <row r="922" spans="1:10" x14ac:dyDescent="0.35">
      <c r="A922">
        <v>921</v>
      </c>
      <c r="B922" s="1">
        <v>44825</v>
      </c>
      <c r="C922" t="s">
        <v>15</v>
      </c>
      <c r="D922" t="s">
        <v>11</v>
      </c>
      <c r="E922" s="2">
        <v>20</v>
      </c>
      <c r="F922">
        <v>14</v>
      </c>
      <c r="G922" s="2">
        <v>280</v>
      </c>
      <c r="H922" t="s">
        <v>16</v>
      </c>
      <c r="I922" t="s">
        <v>13</v>
      </c>
      <c r="J922" t="s">
        <v>27</v>
      </c>
    </row>
    <row r="923" spans="1:10" x14ac:dyDescent="0.35">
      <c r="A923">
        <v>922</v>
      </c>
      <c r="B923" s="1">
        <v>44725</v>
      </c>
      <c r="C923" t="s">
        <v>25</v>
      </c>
      <c r="D923" t="s">
        <v>11</v>
      </c>
      <c r="E923" s="2">
        <v>50</v>
      </c>
      <c r="F923">
        <v>5</v>
      </c>
      <c r="G923" s="2">
        <v>250</v>
      </c>
      <c r="H923" t="s">
        <v>20</v>
      </c>
      <c r="I923" t="s">
        <v>23</v>
      </c>
      <c r="J923" t="s">
        <v>21</v>
      </c>
    </row>
    <row r="924" spans="1:10" x14ac:dyDescent="0.35">
      <c r="A924">
        <v>923</v>
      </c>
      <c r="B924" s="1">
        <v>44711</v>
      </c>
      <c r="C924" t="s">
        <v>28</v>
      </c>
      <c r="D924" t="s">
        <v>19</v>
      </c>
      <c r="E924" s="2">
        <v>40</v>
      </c>
      <c r="F924">
        <v>3</v>
      </c>
      <c r="G924" s="2">
        <v>120</v>
      </c>
      <c r="H924" t="s">
        <v>20</v>
      </c>
      <c r="I924" t="s">
        <v>13</v>
      </c>
      <c r="J924" t="s">
        <v>24</v>
      </c>
    </row>
    <row r="925" spans="1:10" x14ac:dyDescent="0.35">
      <c r="A925">
        <v>924</v>
      </c>
      <c r="B925" s="1">
        <v>44912</v>
      </c>
      <c r="C925" t="s">
        <v>22</v>
      </c>
      <c r="D925" t="s">
        <v>11</v>
      </c>
      <c r="E925" s="2">
        <v>20</v>
      </c>
      <c r="F925">
        <v>14</v>
      </c>
      <c r="G925" s="2">
        <v>280</v>
      </c>
      <c r="H925" t="s">
        <v>16</v>
      </c>
      <c r="I925" t="s">
        <v>13</v>
      </c>
      <c r="J925" t="s">
        <v>17</v>
      </c>
    </row>
    <row r="926" spans="1:10" x14ac:dyDescent="0.35">
      <c r="A926">
        <v>925</v>
      </c>
      <c r="B926" s="1">
        <v>44661</v>
      </c>
      <c r="C926" t="s">
        <v>25</v>
      </c>
      <c r="D926" t="s">
        <v>11</v>
      </c>
      <c r="E926" s="2">
        <v>50</v>
      </c>
      <c r="F926">
        <v>4</v>
      </c>
      <c r="G926" s="2">
        <v>200</v>
      </c>
      <c r="H926" t="s">
        <v>20</v>
      </c>
      <c r="I926" t="s">
        <v>23</v>
      </c>
      <c r="J926" t="s">
        <v>17</v>
      </c>
    </row>
    <row r="927" spans="1:10" x14ac:dyDescent="0.35">
      <c r="A927">
        <v>926</v>
      </c>
      <c r="B927" s="1">
        <v>44984</v>
      </c>
      <c r="C927" t="s">
        <v>25</v>
      </c>
      <c r="D927" t="s">
        <v>11</v>
      </c>
      <c r="E927" s="2">
        <v>50</v>
      </c>
      <c r="F927">
        <v>15</v>
      </c>
      <c r="G927" s="2">
        <v>750</v>
      </c>
      <c r="H927" t="s">
        <v>16</v>
      </c>
      <c r="I927" t="s">
        <v>23</v>
      </c>
      <c r="J927" t="s">
        <v>17</v>
      </c>
    </row>
    <row r="928" spans="1:10" x14ac:dyDescent="0.35">
      <c r="A928">
        <v>927</v>
      </c>
      <c r="B928" s="1">
        <v>44897</v>
      </c>
      <c r="C928" t="s">
        <v>28</v>
      </c>
      <c r="D928" t="s">
        <v>19</v>
      </c>
      <c r="E928" s="2">
        <v>40</v>
      </c>
      <c r="F928">
        <v>6</v>
      </c>
      <c r="G928" s="2">
        <v>240</v>
      </c>
      <c r="H928" t="s">
        <v>12</v>
      </c>
      <c r="I928" t="s">
        <v>23</v>
      </c>
      <c r="J928" t="s">
        <v>21</v>
      </c>
    </row>
    <row r="929" spans="1:10" x14ac:dyDescent="0.35">
      <c r="A929">
        <v>928</v>
      </c>
      <c r="B929" s="1">
        <v>44658</v>
      </c>
      <c r="C929" t="s">
        <v>26</v>
      </c>
      <c r="D929" t="s">
        <v>11</v>
      </c>
      <c r="E929" s="2">
        <v>60</v>
      </c>
      <c r="F929">
        <v>11</v>
      </c>
      <c r="G929" s="2">
        <v>660</v>
      </c>
      <c r="H929" t="s">
        <v>20</v>
      </c>
      <c r="I929" t="s">
        <v>13</v>
      </c>
      <c r="J929" t="s">
        <v>21</v>
      </c>
    </row>
    <row r="930" spans="1:10" x14ac:dyDescent="0.35">
      <c r="A930">
        <v>929</v>
      </c>
      <c r="B930" s="1">
        <v>44718</v>
      </c>
      <c r="C930" t="s">
        <v>25</v>
      </c>
      <c r="D930" t="s">
        <v>11</v>
      </c>
      <c r="E930" s="2">
        <v>50</v>
      </c>
      <c r="F930">
        <v>9</v>
      </c>
      <c r="G930" s="2">
        <v>450</v>
      </c>
      <c r="H930" t="s">
        <v>20</v>
      </c>
      <c r="I930" t="s">
        <v>23</v>
      </c>
      <c r="J930" t="s">
        <v>14</v>
      </c>
    </row>
    <row r="931" spans="1:10" x14ac:dyDescent="0.35">
      <c r="A931">
        <v>930</v>
      </c>
      <c r="B931" s="1">
        <v>44892</v>
      </c>
      <c r="C931" t="s">
        <v>18</v>
      </c>
      <c r="D931" t="s">
        <v>19</v>
      </c>
      <c r="E931" s="2">
        <v>25</v>
      </c>
      <c r="F931">
        <v>10</v>
      </c>
      <c r="G931" s="2">
        <v>250</v>
      </c>
      <c r="H931" t="s">
        <v>20</v>
      </c>
      <c r="I931" t="s">
        <v>13</v>
      </c>
      <c r="J931" t="s">
        <v>14</v>
      </c>
    </row>
    <row r="932" spans="1:10" x14ac:dyDescent="0.35">
      <c r="A932">
        <v>931</v>
      </c>
      <c r="B932" s="1">
        <v>44738</v>
      </c>
      <c r="C932" t="s">
        <v>10</v>
      </c>
      <c r="D932" t="s">
        <v>11</v>
      </c>
      <c r="E932" s="2">
        <v>20</v>
      </c>
      <c r="F932">
        <v>15</v>
      </c>
      <c r="G932" s="2">
        <v>300</v>
      </c>
      <c r="H932" t="s">
        <v>16</v>
      </c>
      <c r="I932" t="s">
        <v>13</v>
      </c>
      <c r="J932" t="s">
        <v>17</v>
      </c>
    </row>
    <row r="933" spans="1:10" x14ac:dyDescent="0.35">
      <c r="A933">
        <v>932</v>
      </c>
      <c r="B933" s="1">
        <v>44852</v>
      </c>
      <c r="C933" t="s">
        <v>26</v>
      </c>
      <c r="D933" t="s">
        <v>11</v>
      </c>
      <c r="E933" s="2">
        <v>60</v>
      </c>
      <c r="F933">
        <v>9</v>
      </c>
      <c r="G933" s="2">
        <v>540</v>
      </c>
      <c r="H933" t="s">
        <v>20</v>
      </c>
      <c r="I933" t="s">
        <v>13</v>
      </c>
      <c r="J933" t="s">
        <v>17</v>
      </c>
    </row>
    <row r="934" spans="1:10" x14ac:dyDescent="0.35">
      <c r="A934">
        <v>933</v>
      </c>
      <c r="B934" s="1">
        <v>44947</v>
      </c>
      <c r="C934" t="s">
        <v>18</v>
      </c>
      <c r="D934" t="s">
        <v>19</v>
      </c>
      <c r="E934" s="2">
        <v>25</v>
      </c>
      <c r="F934">
        <v>15</v>
      </c>
      <c r="G934" s="2">
        <v>375</v>
      </c>
      <c r="H934" t="s">
        <v>20</v>
      </c>
      <c r="I934" t="s">
        <v>23</v>
      </c>
      <c r="J934" t="s">
        <v>17</v>
      </c>
    </row>
    <row r="935" spans="1:10" x14ac:dyDescent="0.35">
      <c r="A935">
        <v>934</v>
      </c>
      <c r="B935" s="1">
        <v>44823</v>
      </c>
      <c r="C935" t="s">
        <v>28</v>
      </c>
      <c r="D935" t="s">
        <v>19</v>
      </c>
      <c r="E935" s="2">
        <v>40</v>
      </c>
      <c r="F935">
        <v>4</v>
      </c>
      <c r="G935" s="2">
        <v>160</v>
      </c>
      <c r="H935" t="s">
        <v>16</v>
      </c>
      <c r="I935" t="s">
        <v>23</v>
      </c>
      <c r="J935" t="s">
        <v>17</v>
      </c>
    </row>
    <row r="936" spans="1:10" x14ac:dyDescent="0.35">
      <c r="A936">
        <v>935</v>
      </c>
      <c r="B936" s="1">
        <v>44974</v>
      </c>
      <c r="C936" t="s">
        <v>26</v>
      </c>
      <c r="D936" t="s">
        <v>11</v>
      </c>
      <c r="E936" s="2">
        <v>60</v>
      </c>
      <c r="F936">
        <v>12</v>
      </c>
      <c r="G936" s="2">
        <v>720</v>
      </c>
      <c r="H936" t="s">
        <v>16</v>
      </c>
      <c r="I936" t="s">
        <v>13</v>
      </c>
      <c r="J936" t="s">
        <v>27</v>
      </c>
    </row>
    <row r="937" spans="1:10" x14ac:dyDescent="0.35">
      <c r="A937">
        <v>936</v>
      </c>
      <c r="B937" s="1">
        <v>44783</v>
      </c>
      <c r="C937" t="s">
        <v>22</v>
      </c>
      <c r="D937" t="s">
        <v>11</v>
      </c>
      <c r="E937" s="2">
        <v>20</v>
      </c>
      <c r="F937">
        <v>2</v>
      </c>
      <c r="G937" s="2">
        <v>40</v>
      </c>
      <c r="H937" t="s">
        <v>12</v>
      </c>
      <c r="I937" t="s">
        <v>13</v>
      </c>
      <c r="J937" t="s">
        <v>27</v>
      </c>
    </row>
    <row r="938" spans="1:10" x14ac:dyDescent="0.35">
      <c r="A938">
        <v>937</v>
      </c>
      <c r="B938" s="1">
        <v>44734</v>
      </c>
      <c r="C938" t="s">
        <v>22</v>
      </c>
      <c r="D938" t="s">
        <v>11</v>
      </c>
      <c r="E938" s="2">
        <v>20</v>
      </c>
      <c r="F938">
        <v>4</v>
      </c>
      <c r="G938" s="2">
        <v>80</v>
      </c>
      <c r="H938" t="s">
        <v>16</v>
      </c>
      <c r="I938" t="s">
        <v>13</v>
      </c>
      <c r="J938" t="s">
        <v>14</v>
      </c>
    </row>
    <row r="939" spans="1:10" x14ac:dyDescent="0.35">
      <c r="A939">
        <v>938</v>
      </c>
      <c r="B939" s="1">
        <v>44783</v>
      </c>
      <c r="C939" t="s">
        <v>18</v>
      </c>
      <c r="D939" t="s">
        <v>19</v>
      </c>
      <c r="E939" s="2">
        <v>25</v>
      </c>
      <c r="F939">
        <v>14</v>
      </c>
      <c r="G939" s="2">
        <v>350</v>
      </c>
      <c r="H939" t="s">
        <v>16</v>
      </c>
      <c r="I939" t="s">
        <v>13</v>
      </c>
      <c r="J939" t="s">
        <v>21</v>
      </c>
    </row>
    <row r="940" spans="1:10" x14ac:dyDescent="0.35">
      <c r="A940">
        <v>939</v>
      </c>
      <c r="B940" s="1">
        <v>44976</v>
      </c>
      <c r="C940" t="s">
        <v>15</v>
      </c>
      <c r="D940" t="s">
        <v>11</v>
      </c>
      <c r="E940" s="2">
        <v>20</v>
      </c>
      <c r="F940">
        <v>15</v>
      </c>
      <c r="G940" s="2">
        <v>300</v>
      </c>
      <c r="H940" t="s">
        <v>20</v>
      </c>
      <c r="I940" t="s">
        <v>13</v>
      </c>
      <c r="J940" t="s">
        <v>27</v>
      </c>
    </row>
    <row r="941" spans="1:10" x14ac:dyDescent="0.35">
      <c r="A941">
        <v>940</v>
      </c>
      <c r="B941" s="1">
        <v>44964</v>
      </c>
      <c r="C941" t="s">
        <v>18</v>
      </c>
      <c r="D941" t="s">
        <v>19</v>
      </c>
      <c r="E941" s="2">
        <v>25</v>
      </c>
      <c r="F941">
        <v>14</v>
      </c>
      <c r="G941" s="2">
        <v>350</v>
      </c>
      <c r="H941" t="s">
        <v>20</v>
      </c>
      <c r="I941" t="s">
        <v>23</v>
      </c>
      <c r="J941" t="s">
        <v>27</v>
      </c>
    </row>
    <row r="942" spans="1:10" x14ac:dyDescent="0.35">
      <c r="A942">
        <v>941</v>
      </c>
      <c r="B942" s="1">
        <v>44967</v>
      </c>
      <c r="C942" t="s">
        <v>28</v>
      </c>
      <c r="D942" t="s">
        <v>19</v>
      </c>
      <c r="E942" s="2">
        <v>40</v>
      </c>
      <c r="F942">
        <v>10</v>
      </c>
      <c r="G942" s="2">
        <v>400</v>
      </c>
      <c r="H942" t="s">
        <v>20</v>
      </c>
      <c r="I942" t="s">
        <v>23</v>
      </c>
      <c r="J942" t="s">
        <v>24</v>
      </c>
    </row>
    <row r="943" spans="1:10" x14ac:dyDescent="0.35">
      <c r="A943">
        <v>942</v>
      </c>
      <c r="B943" s="1">
        <v>44762</v>
      </c>
      <c r="C943" t="s">
        <v>25</v>
      </c>
      <c r="D943" t="s">
        <v>11</v>
      </c>
      <c r="E943" s="2">
        <v>50</v>
      </c>
      <c r="F943">
        <v>6</v>
      </c>
      <c r="G943" s="2">
        <v>300</v>
      </c>
      <c r="H943" t="s">
        <v>16</v>
      </c>
      <c r="I943" t="s">
        <v>13</v>
      </c>
      <c r="J943" t="s">
        <v>14</v>
      </c>
    </row>
    <row r="944" spans="1:10" x14ac:dyDescent="0.35">
      <c r="A944">
        <v>943</v>
      </c>
      <c r="B944" s="1">
        <v>44742</v>
      </c>
      <c r="C944" t="s">
        <v>15</v>
      </c>
      <c r="D944" t="s">
        <v>11</v>
      </c>
      <c r="E944" s="2">
        <v>20</v>
      </c>
      <c r="F944">
        <v>6</v>
      </c>
      <c r="G944" s="2">
        <v>120</v>
      </c>
      <c r="H944" t="s">
        <v>16</v>
      </c>
      <c r="I944" t="s">
        <v>23</v>
      </c>
      <c r="J944" t="s">
        <v>14</v>
      </c>
    </row>
    <row r="945" spans="1:10" x14ac:dyDescent="0.35">
      <c r="A945">
        <v>944</v>
      </c>
      <c r="B945" s="1">
        <v>44693</v>
      </c>
      <c r="C945" t="s">
        <v>10</v>
      </c>
      <c r="D945" t="s">
        <v>11</v>
      </c>
      <c r="E945" s="2">
        <v>20</v>
      </c>
      <c r="F945">
        <v>2</v>
      </c>
      <c r="G945" s="2">
        <v>40</v>
      </c>
      <c r="H945" t="s">
        <v>16</v>
      </c>
      <c r="I945" t="s">
        <v>13</v>
      </c>
      <c r="J945" t="s">
        <v>27</v>
      </c>
    </row>
    <row r="946" spans="1:10" x14ac:dyDescent="0.35">
      <c r="A946">
        <v>945</v>
      </c>
      <c r="B946" s="1">
        <v>44696</v>
      </c>
      <c r="C946" t="s">
        <v>28</v>
      </c>
      <c r="D946" t="s">
        <v>19</v>
      </c>
      <c r="E946" s="2">
        <v>40</v>
      </c>
      <c r="F946">
        <v>2</v>
      </c>
      <c r="G946" s="2">
        <v>80</v>
      </c>
      <c r="H946" t="s">
        <v>20</v>
      </c>
      <c r="I946" t="s">
        <v>23</v>
      </c>
      <c r="J946" t="s">
        <v>17</v>
      </c>
    </row>
    <row r="947" spans="1:10" x14ac:dyDescent="0.35">
      <c r="A947">
        <v>946</v>
      </c>
      <c r="B947" s="1">
        <v>44978</v>
      </c>
      <c r="C947" t="s">
        <v>26</v>
      </c>
      <c r="D947" t="s">
        <v>11</v>
      </c>
      <c r="E947" s="2">
        <v>60</v>
      </c>
      <c r="F947">
        <v>8</v>
      </c>
      <c r="G947" s="2">
        <v>480</v>
      </c>
      <c r="H947" t="s">
        <v>16</v>
      </c>
      <c r="I947" t="s">
        <v>13</v>
      </c>
      <c r="J947" t="s">
        <v>27</v>
      </c>
    </row>
    <row r="948" spans="1:10" x14ac:dyDescent="0.35">
      <c r="A948">
        <v>947</v>
      </c>
      <c r="B948" s="1">
        <v>44789</v>
      </c>
      <c r="C948" t="s">
        <v>10</v>
      </c>
      <c r="D948" t="s">
        <v>11</v>
      </c>
      <c r="E948" s="2">
        <v>20</v>
      </c>
      <c r="F948">
        <v>11</v>
      </c>
      <c r="G948" s="2">
        <v>220</v>
      </c>
      <c r="H948" t="s">
        <v>20</v>
      </c>
      <c r="I948" t="s">
        <v>13</v>
      </c>
      <c r="J948" t="s">
        <v>14</v>
      </c>
    </row>
    <row r="949" spans="1:10" x14ac:dyDescent="0.35">
      <c r="A949">
        <v>948</v>
      </c>
      <c r="B949" s="1">
        <v>44942</v>
      </c>
      <c r="C949" t="s">
        <v>26</v>
      </c>
      <c r="D949" t="s">
        <v>11</v>
      </c>
      <c r="E949" s="2">
        <v>60</v>
      </c>
      <c r="F949">
        <v>10</v>
      </c>
      <c r="G949" s="2">
        <v>600</v>
      </c>
      <c r="H949" t="s">
        <v>20</v>
      </c>
      <c r="I949" t="s">
        <v>13</v>
      </c>
      <c r="J949" t="s">
        <v>21</v>
      </c>
    </row>
    <row r="950" spans="1:10" x14ac:dyDescent="0.35">
      <c r="A950">
        <v>949</v>
      </c>
      <c r="B950" s="1">
        <v>44933</v>
      </c>
      <c r="C950" t="s">
        <v>22</v>
      </c>
      <c r="D950" t="s">
        <v>11</v>
      </c>
      <c r="E950" s="2">
        <v>20</v>
      </c>
      <c r="F950">
        <v>1</v>
      </c>
      <c r="G950" s="2">
        <v>20</v>
      </c>
      <c r="H950" t="s">
        <v>16</v>
      </c>
      <c r="I950" t="s">
        <v>23</v>
      </c>
      <c r="J950" t="s">
        <v>21</v>
      </c>
    </row>
    <row r="951" spans="1:10" x14ac:dyDescent="0.35">
      <c r="A951">
        <v>950</v>
      </c>
      <c r="B951" s="1">
        <v>44829</v>
      </c>
      <c r="C951" t="s">
        <v>25</v>
      </c>
      <c r="D951" t="s">
        <v>11</v>
      </c>
      <c r="E951" s="2">
        <v>50</v>
      </c>
      <c r="F951">
        <v>6</v>
      </c>
      <c r="G951" s="2">
        <v>300</v>
      </c>
      <c r="H951" t="s">
        <v>20</v>
      </c>
      <c r="I951" t="s">
        <v>23</v>
      </c>
      <c r="J951" t="s">
        <v>21</v>
      </c>
    </row>
    <row r="952" spans="1:10" x14ac:dyDescent="0.35">
      <c r="A952">
        <v>951</v>
      </c>
      <c r="B952" s="1">
        <v>44876</v>
      </c>
      <c r="C952" t="s">
        <v>22</v>
      </c>
      <c r="D952" t="s">
        <v>11</v>
      </c>
      <c r="E952" s="2">
        <v>20</v>
      </c>
      <c r="F952">
        <v>11</v>
      </c>
      <c r="G952" s="2">
        <v>220</v>
      </c>
      <c r="H952" t="s">
        <v>16</v>
      </c>
      <c r="I952" t="s">
        <v>23</v>
      </c>
      <c r="J952" t="s">
        <v>17</v>
      </c>
    </row>
    <row r="953" spans="1:10" x14ac:dyDescent="0.35">
      <c r="A953">
        <v>952</v>
      </c>
      <c r="B953" s="1">
        <v>44828</v>
      </c>
      <c r="C953" t="s">
        <v>10</v>
      </c>
      <c r="D953" t="s">
        <v>11</v>
      </c>
      <c r="E953" s="2">
        <v>20</v>
      </c>
      <c r="F953">
        <v>14</v>
      </c>
      <c r="G953" s="2">
        <v>280</v>
      </c>
      <c r="H953" t="s">
        <v>16</v>
      </c>
      <c r="I953" t="s">
        <v>23</v>
      </c>
      <c r="J953" t="s">
        <v>21</v>
      </c>
    </row>
    <row r="954" spans="1:10" x14ac:dyDescent="0.35">
      <c r="A954">
        <v>953</v>
      </c>
      <c r="B954" s="1">
        <v>44875</v>
      </c>
      <c r="C954" t="s">
        <v>26</v>
      </c>
      <c r="D954" t="s">
        <v>11</v>
      </c>
      <c r="E954" s="2">
        <v>60</v>
      </c>
      <c r="F954">
        <v>2</v>
      </c>
      <c r="G954" s="2">
        <v>120</v>
      </c>
      <c r="H954" t="s">
        <v>20</v>
      </c>
      <c r="I954" t="s">
        <v>23</v>
      </c>
      <c r="J954" t="s">
        <v>17</v>
      </c>
    </row>
    <row r="955" spans="1:10" x14ac:dyDescent="0.35">
      <c r="A955">
        <v>954</v>
      </c>
      <c r="B955" s="1">
        <v>44957</v>
      </c>
      <c r="C955" t="s">
        <v>10</v>
      </c>
      <c r="D955" t="s">
        <v>11</v>
      </c>
      <c r="E955" s="2">
        <v>20</v>
      </c>
      <c r="F955">
        <v>3</v>
      </c>
      <c r="G955" s="2">
        <v>60</v>
      </c>
      <c r="H955" t="s">
        <v>16</v>
      </c>
      <c r="I955" t="s">
        <v>23</v>
      </c>
      <c r="J955" t="s">
        <v>27</v>
      </c>
    </row>
    <row r="956" spans="1:10" x14ac:dyDescent="0.35">
      <c r="A956">
        <v>955</v>
      </c>
      <c r="B956" s="1">
        <v>44953</v>
      </c>
      <c r="C956" t="s">
        <v>18</v>
      </c>
      <c r="D956" t="s">
        <v>19</v>
      </c>
      <c r="E956" s="2">
        <v>25</v>
      </c>
      <c r="F956">
        <v>7</v>
      </c>
      <c r="G956" s="2">
        <v>175</v>
      </c>
      <c r="H956" t="s">
        <v>20</v>
      </c>
      <c r="I956" t="s">
        <v>13</v>
      </c>
      <c r="J956" t="s">
        <v>17</v>
      </c>
    </row>
    <row r="957" spans="1:10" x14ac:dyDescent="0.35">
      <c r="A957">
        <v>956</v>
      </c>
      <c r="B957" s="1">
        <v>44681</v>
      </c>
      <c r="C957" t="s">
        <v>25</v>
      </c>
      <c r="D957" t="s">
        <v>11</v>
      </c>
      <c r="E957" s="2">
        <v>50</v>
      </c>
      <c r="F957">
        <v>13</v>
      </c>
      <c r="G957" s="2">
        <v>650</v>
      </c>
      <c r="H957" t="s">
        <v>20</v>
      </c>
      <c r="I957" t="s">
        <v>13</v>
      </c>
      <c r="J957" t="s">
        <v>24</v>
      </c>
    </row>
    <row r="958" spans="1:10" x14ac:dyDescent="0.35">
      <c r="A958">
        <v>957</v>
      </c>
      <c r="B958" s="1">
        <v>44965</v>
      </c>
      <c r="C958" t="s">
        <v>22</v>
      </c>
      <c r="D958" t="s">
        <v>11</v>
      </c>
      <c r="E958" s="2">
        <v>20</v>
      </c>
      <c r="F958">
        <v>3</v>
      </c>
      <c r="G958" s="2">
        <v>60</v>
      </c>
      <c r="H958" t="s">
        <v>20</v>
      </c>
      <c r="I958" t="s">
        <v>23</v>
      </c>
      <c r="J958" t="s">
        <v>27</v>
      </c>
    </row>
    <row r="959" spans="1:10" x14ac:dyDescent="0.35">
      <c r="A959">
        <v>958</v>
      </c>
      <c r="B959" s="1">
        <v>44703</v>
      </c>
      <c r="C959" t="s">
        <v>26</v>
      </c>
      <c r="D959" t="s">
        <v>11</v>
      </c>
      <c r="E959" s="2">
        <v>60</v>
      </c>
      <c r="F959">
        <v>11</v>
      </c>
      <c r="G959" s="2">
        <v>660</v>
      </c>
      <c r="H959" t="s">
        <v>20</v>
      </c>
      <c r="I959" t="s">
        <v>23</v>
      </c>
      <c r="J959" t="s">
        <v>14</v>
      </c>
    </row>
    <row r="960" spans="1:10" x14ac:dyDescent="0.35">
      <c r="A960">
        <v>959</v>
      </c>
      <c r="B960" s="1">
        <v>44893</v>
      </c>
      <c r="C960" t="s">
        <v>15</v>
      </c>
      <c r="D960" t="s">
        <v>11</v>
      </c>
      <c r="E960" s="2">
        <v>20</v>
      </c>
      <c r="F960">
        <v>8</v>
      </c>
      <c r="G960" s="2">
        <v>160</v>
      </c>
      <c r="H960" t="s">
        <v>20</v>
      </c>
      <c r="I960" t="s">
        <v>23</v>
      </c>
      <c r="J960" t="s">
        <v>27</v>
      </c>
    </row>
    <row r="961" spans="1:10" x14ac:dyDescent="0.35">
      <c r="A961">
        <v>960</v>
      </c>
      <c r="B961" s="1">
        <v>44785</v>
      </c>
      <c r="C961" t="s">
        <v>18</v>
      </c>
      <c r="D961" t="s">
        <v>19</v>
      </c>
      <c r="E961" s="2">
        <v>25</v>
      </c>
      <c r="F961">
        <v>15</v>
      </c>
      <c r="G961" s="2">
        <v>375</v>
      </c>
      <c r="H961" t="s">
        <v>20</v>
      </c>
      <c r="I961" t="s">
        <v>23</v>
      </c>
      <c r="J961" t="s">
        <v>21</v>
      </c>
    </row>
    <row r="962" spans="1:10" x14ac:dyDescent="0.35">
      <c r="A962">
        <v>961</v>
      </c>
      <c r="B962" s="1">
        <v>44999</v>
      </c>
      <c r="C962" t="s">
        <v>25</v>
      </c>
      <c r="D962" t="s">
        <v>11</v>
      </c>
      <c r="E962" s="2">
        <v>50</v>
      </c>
      <c r="F962">
        <v>13</v>
      </c>
      <c r="G962" s="2">
        <v>650</v>
      </c>
      <c r="H962" t="s">
        <v>16</v>
      </c>
      <c r="I962" t="s">
        <v>13</v>
      </c>
      <c r="J962" t="s">
        <v>14</v>
      </c>
    </row>
    <row r="963" spans="1:10" x14ac:dyDescent="0.35">
      <c r="A963">
        <v>962</v>
      </c>
      <c r="B963" s="1">
        <v>44699</v>
      </c>
      <c r="C963" t="s">
        <v>25</v>
      </c>
      <c r="D963" t="s">
        <v>11</v>
      </c>
      <c r="E963" s="2">
        <v>50</v>
      </c>
      <c r="F963">
        <v>13</v>
      </c>
      <c r="G963" s="2">
        <v>650</v>
      </c>
      <c r="H963" t="s">
        <v>20</v>
      </c>
      <c r="I963" t="s">
        <v>23</v>
      </c>
      <c r="J963" t="s">
        <v>17</v>
      </c>
    </row>
    <row r="964" spans="1:10" x14ac:dyDescent="0.35">
      <c r="A964">
        <v>963</v>
      </c>
      <c r="B964" s="1">
        <v>44839</v>
      </c>
      <c r="C964" t="s">
        <v>15</v>
      </c>
      <c r="D964" t="s">
        <v>11</v>
      </c>
      <c r="E964" s="2">
        <v>20</v>
      </c>
      <c r="F964">
        <v>6</v>
      </c>
      <c r="G964" s="2">
        <v>120</v>
      </c>
      <c r="H964" t="s">
        <v>16</v>
      </c>
      <c r="I964" t="s">
        <v>23</v>
      </c>
      <c r="J964" t="s">
        <v>24</v>
      </c>
    </row>
    <row r="965" spans="1:10" x14ac:dyDescent="0.35">
      <c r="A965">
        <v>964</v>
      </c>
      <c r="B965" s="1">
        <v>44688</v>
      </c>
      <c r="C965" t="s">
        <v>28</v>
      </c>
      <c r="D965" t="s">
        <v>19</v>
      </c>
      <c r="E965" s="2">
        <v>40</v>
      </c>
      <c r="F965">
        <v>8</v>
      </c>
      <c r="G965" s="2">
        <v>320</v>
      </c>
      <c r="H965" t="s">
        <v>16</v>
      </c>
      <c r="I965" t="s">
        <v>13</v>
      </c>
      <c r="J965" t="s">
        <v>21</v>
      </c>
    </row>
    <row r="966" spans="1:10" x14ac:dyDescent="0.35">
      <c r="A966">
        <v>965</v>
      </c>
      <c r="B966" s="1">
        <v>44842</v>
      </c>
      <c r="C966" t="s">
        <v>25</v>
      </c>
      <c r="D966" t="s">
        <v>11</v>
      </c>
      <c r="E966" s="2">
        <v>50</v>
      </c>
      <c r="F966">
        <v>5</v>
      </c>
      <c r="G966" s="2">
        <v>250</v>
      </c>
      <c r="H966" t="s">
        <v>20</v>
      </c>
      <c r="I966" t="s">
        <v>23</v>
      </c>
      <c r="J966" t="s">
        <v>14</v>
      </c>
    </row>
    <row r="967" spans="1:10" x14ac:dyDescent="0.35">
      <c r="A967">
        <v>966</v>
      </c>
      <c r="B967" s="1">
        <v>45004</v>
      </c>
      <c r="C967" t="s">
        <v>22</v>
      </c>
      <c r="D967" t="s">
        <v>11</v>
      </c>
      <c r="E967" s="2">
        <v>20</v>
      </c>
      <c r="F967">
        <v>11</v>
      </c>
      <c r="G967" s="2">
        <v>220</v>
      </c>
      <c r="H967" t="s">
        <v>20</v>
      </c>
      <c r="I967" t="s">
        <v>23</v>
      </c>
      <c r="J967" t="s">
        <v>24</v>
      </c>
    </row>
    <row r="968" spans="1:10" x14ac:dyDescent="0.35">
      <c r="A968">
        <v>967</v>
      </c>
      <c r="B968" s="1">
        <v>44741</v>
      </c>
      <c r="C968" t="s">
        <v>28</v>
      </c>
      <c r="D968" t="s">
        <v>19</v>
      </c>
      <c r="E968" s="2">
        <v>40</v>
      </c>
      <c r="F968">
        <v>14</v>
      </c>
      <c r="G968" s="2">
        <v>560</v>
      </c>
      <c r="H968" t="s">
        <v>16</v>
      </c>
      <c r="I968" t="s">
        <v>13</v>
      </c>
      <c r="J968" t="s">
        <v>17</v>
      </c>
    </row>
    <row r="969" spans="1:10" x14ac:dyDescent="0.35">
      <c r="A969">
        <v>968</v>
      </c>
      <c r="B969" s="1">
        <v>44782</v>
      </c>
      <c r="C969" t="s">
        <v>28</v>
      </c>
      <c r="D969" t="s">
        <v>19</v>
      </c>
      <c r="E969" s="2">
        <v>40</v>
      </c>
      <c r="F969">
        <v>15</v>
      </c>
      <c r="G969" s="2">
        <v>600</v>
      </c>
      <c r="H969" t="s">
        <v>16</v>
      </c>
      <c r="I969" t="s">
        <v>23</v>
      </c>
      <c r="J969" t="s">
        <v>24</v>
      </c>
    </row>
    <row r="970" spans="1:10" x14ac:dyDescent="0.35">
      <c r="A970">
        <v>969</v>
      </c>
      <c r="B970" s="1">
        <v>44871</v>
      </c>
      <c r="C970" t="s">
        <v>28</v>
      </c>
      <c r="D970" t="s">
        <v>19</v>
      </c>
      <c r="E970" s="2">
        <v>40</v>
      </c>
      <c r="F970">
        <v>11</v>
      </c>
      <c r="G970" s="2">
        <v>440</v>
      </c>
      <c r="H970" t="s">
        <v>16</v>
      </c>
      <c r="I970" t="s">
        <v>13</v>
      </c>
      <c r="J970" t="s">
        <v>24</v>
      </c>
    </row>
    <row r="971" spans="1:10" x14ac:dyDescent="0.35">
      <c r="A971">
        <v>970</v>
      </c>
      <c r="B971" s="1">
        <v>44886</v>
      </c>
      <c r="C971" t="s">
        <v>10</v>
      </c>
      <c r="D971" t="s">
        <v>11</v>
      </c>
      <c r="E971" s="2">
        <v>20</v>
      </c>
      <c r="F971">
        <v>5</v>
      </c>
      <c r="G971" s="2">
        <v>100</v>
      </c>
      <c r="H971" t="s">
        <v>20</v>
      </c>
      <c r="I971" t="s">
        <v>23</v>
      </c>
      <c r="J971" t="s">
        <v>17</v>
      </c>
    </row>
    <row r="972" spans="1:10" x14ac:dyDescent="0.35">
      <c r="A972">
        <v>971</v>
      </c>
      <c r="B972" s="1">
        <v>44836</v>
      </c>
      <c r="C972" t="s">
        <v>25</v>
      </c>
      <c r="D972" t="s">
        <v>11</v>
      </c>
      <c r="E972" s="2">
        <v>50</v>
      </c>
      <c r="F972">
        <v>2</v>
      </c>
      <c r="G972" s="2">
        <v>100</v>
      </c>
      <c r="H972" t="s">
        <v>16</v>
      </c>
      <c r="I972" t="s">
        <v>23</v>
      </c>
      <c r="J972" t="s">
        <v>24</v>
      </c>
    </row>
    <row r="973" spans="1:10" x14ac:dyDescent="0.35">
      <c r="A973">
        <v>972</v>
      </c>
      <c r="B973" s="1">
        <v>44996</v>
      </c>
      <c r="C973" t="s">
        <v>10</v>
      </c>
      <c r="D973" t="s">
        <v>11</v>
      </c>
      <c r="E973" s="2">
        <v>20</v>
      </c>
      <c r="F973">
        <v>1</v>
      </c>
      <c r="G973" s="2">
        <v>20</v>
      </c>
      <c r="H973" t="s">
        <v>16</v>
      </c>
      <c r="I973" t="s">
        <v>23</v>
      </c>
      <c r="J973" t="s">
        <v>17</v>
      </c>
    </row>
    <row r="974" spans="1:10" x14ac:dyDescent="0.35">
      <c r="A974">
        <v>973</v>
      </c>
      <c r="B974" s="1">
        <v>44719</v>
      </c>
      <c r="C974" t="s">
        <v>18</v>
      </c>
      <c r="D974" t="s">
        <v>19</v>
      </c>
      <c r="E974" s="2">
        <v>25</v>
      </c>
      <c r="F974">
        <v>1</v>
      </c>
      <c r="G974" s="2">
        <v>25</v>
      </c>
      <c r="H974" t="s">
        <v>12</v>
      </c>
      <c r="I974" t="s">
        <v>23</v>
      </c>
      <c r="J974" t="s">
        <v>24</v>
      </c>
    </row>
    <row r="975" spans="1:10" x14ac:dyDescent="0.35">
      <c r="A975">
        <v>974</v>
      </c>
      <c r="B975" s="1">
        <v>44954</v>
      </c>
      <c r="C975" t="s">
        <v>15</v>
      </c>
      <c r="D975" t="s">
        <v>11</v>
      </c>
      <c r="E975" s="2">
        <v>20</v>
      </c>
      <c r="F975">
        <v>13</v>
      </c>
      <c r="G975" s="2">
        <v>260</v>
      </c>
      <c r="H975" t="s">
        <v>20</v>
      </c>
      <c r="I975" t="s">
        <v>13</v>
      </c>
      <c r="J975" t="s">
        <v>17</v>
      </c>
    </row>
    <row r="976" spans="1:10" x14ac:dyDescent="0.35">
      <c r="A976">
        <v>975</v>
      </c>
      <c r="B976" s="1">
        <v>44941</v>
      </c>
      <c r="C976" t="s">
        <v>10</v>
      </c>
      <c r="D976" t="s">
        <v>11</v>
      </c>
      <c r="E976" s="2">
        <v>20</v>
      </c>
      <c r="F976">
        <v>1</v>
      </c>
      <c r="G976" s="2">
        <v>20</v>
      </c>
      <c r="H976" t="s">
        <v>16</v>
      </c>
      <c r="I976" t="s">
        <v>13</v>
      </c>
      <c r="J976" t="s">
        <v>27</v>
      </c>
    </row>
    <row r="977" spans="1:10" x14ac:dyDescent="0.35">
      <c r="A977">
        <v>976</v>
      </c>
      <c r="B977" s="1">
        <v>44668</v>
      </c>
      <c r="C977" t="s">
        <v>18</v>
      </c>
      <c r="D977" t="s">
        <v>19</v>
      </c>
      <c r="E977" s="2">
        <v>25</v>
      </c>
      <c r="F977">
        <v>11</v>
      </c>
      <c r="G977" s="2">
        <v>275</v>
      </c>
      <c r="H977" t="s">
        <v>12</v>
      </c>
      <c r="I977" t="s">
        <v>23</v>
      </c>
      <c r="J977" t="s">
        <v>24</v>
      </c>
    </row>
    <row r="978" spans="1:10" x14ac:dyDescent="0.35">
      <c r="A978">
        <v>977</v>
      </c>
      <c r="B978" s="1">
        <v>44931</v>
      </c>
      <c r="C978" t="s">
        <v>10</v>
      </c>
      <c r="D978" t="s">
        <v>11</v>
      </c>
      <c r="E978" s="2">
        <v>20</v>
      </c>
      <c r="F978">
        <v>1</v>
      </c>
      <c r="G978" s="2">
        <v>20</v>
      </c>
      <c r="H978" t="s">
        <v>16</v>
      </c>
      <c r="I978" t="s">
        <v>13</v>
      </c>
      <c r="J978" t="s">
        <v>21</v>
      </c>
    </row>
    <row r="979" spans="1:10" x14ac:dyDescent="0.35">
      <c r="A979">
        <v>978</v>
      </c>
      <c r="B979" s="1">
        <v>44842</v>
      </c>
      <c r="C979" t="s">
        <v>25</v>
      </c>
      <c r="D979" t="s">
        <v>11</v>
      </c>
      <c r="E979" s="2">
        <v>50</v>
      </c>
      <c r="F979">
        <v>2</v>
      </c>
      <c r="G979" s="2">
        <v>100</v>
      </c>
      <c r="H979" t="s">
        <v>20</v>
      </c>
      <c r="I979" t="s">
        <v>13</v>
      </c>
      <c r="J979" t="s">
        <v>14</v>
      </c>
    </row>
    <row r="980" spans="1:10" x14ac:dyDescent="0.35">
      <c r="A980">
        <v>979</v>
      </c>
      <c r="B980" s="1">
        <v>44702</v>
      </c>
      <c r="C980" t="s">
        <v>10</v>
      </c>
      <c r="D980" t="s">
        <v>11</v>
      </c>
      <c r="E980" s="2">
        <v>20</v>
      </c>
      <c r="F980">
        <v>13</v>
      </c>
      <c r="G980" s="2">
        <v>260</v>
      </c>
      <c r="H980" t="s">
        <v>16</v>
      </c>
      <c r="I980" t="s">
        <v>23</v>
      </c>
      <c r="J980" t="s">
        <v>27</v>
      </c>
    </row>
    <row r="981" spans="1:10" x14ac:dyDescent="0.35">
      <c r="A981">
        <v>980</v>
      </c>
      <c r="B981" s="1">
        <v>44732</v>
      </c>
      <c r="C981" t="s">
        <v>15</v>
      </c>
      <c r="D981" t="s">
        <v>11</v>
      </c>
      <c r="E981" s="2">
        <v>20</v>
      </c>
      <c r="F981">
        <v>9</v>
      </c>
      <c r="G981" s="2">
        <v>180</v>
      </c>
      <c r="H981" t="s">
        <v>20</v>
      </c>
      <c r="I981" t="s">
        <v>13</v>
      </c>
      <c r="J981" t="s">
        <v>24</v>
      </c>
    </row>
    <row r="982" spans="1:10" x14ac:dyDescent="0.35">
      <c r="A982">
        <v>981</v>
      </c>
      <c r="B982" s="1">
        <v>44948</v>
      </c>
      <c r="C982" t="s">
        <v>22</v>
      </c>
      <c r="D982" t="s">
        <v>11</v>
      </c>
      <c r="E982" s="2">
        <v>20</v>
      </c>
      <c r="F982">
        <v>15</v>
      </c>
      <c r="G982" s="2">
        <v>300</v>
      </c>
      <c r="H982" t="s">
        <v>20</v>
      </c>
      <c r="I982" t="s">
        <v>13</v>
      </c>
      <c r="J982" t="s">
        <v>27</v>
      </c>
    </row>
    <row r="983" spans="1:10" x14ac:dyDescent="0.35">
      <c r="A983">
        <v>982</v>
      </c>
      <c r="B983" s="1">
        <v>45015</v>
      </c>
      <c r="C983" t="s">
        <v>18</v>
      </c>
      <c r="D983" t="s">
        <v>19</v>
      </c>
      <c r="E983" s="2">
        <v>25</v>
      </c>
      <c r="F983">
        <v>14</v>
      </c>
      <c r="G983" s="2">
        <v>350</v>
      </c>
      <c r="H983" t="s">
        <v>16</v>
      </c>
      <c r="I983" t="s">
        <v>23</v>
      </c>
      <c r="J983" t="s">
        <v>14</v>
      </c>
    </row>
    <row r="984" spans="1:10" x14ac:dyDescent="0.35">
      <c r="A984">
        <v>983</v>
      </c>
      <c r="B984" s="1">
        <v>45002</v>
      </c>
      <c r="C984" t="s">
        <v>28</v>
      </c>
      <c r="D984" t="s">
        <v>19</v>
      </c>
      <c r="E984" s="2">
        <v>40</v>
      </c>
      <c r="F984">
        <v>10</v>
      </c>
      <c r="G984" s="2">
        <v>400</v>
      </c>
      <c r="H984" t="s">
        <v>12</v>
      </c>
      <c r="I984" t="s">
        <v>23</v>
      </c>
      <c r="J984" t="s">
        <v>14</v>
      </c>
    </row>
    <row r="985" spans="1:10" x14ac:dyDescent="0.35">
      <c r="A985">
        <v>984</v>
      </c>
      <c r="B985" s="1">
        <v>44933</v>
      </c>
      <c r="C985" t="s">
        <v>25</v>
      </c>
      <c r="D985" t="s">
        <v>11</v>
      </c>
      <c r="E985" s="2">
        <v>50</v>
      </c>
      <c r="F985">
        <v>3</v>
      </c>
      <c r="G985" s="2">
        <v>150</v>
      </c>
      <c r="H985" t="s">
        <v>16</v>
      </c>
      <c r="I985" t="s">
        <v>13</v>
      </c>
      <c r="J985" t="s">
        <v>17</v>
      </c>
    </row>
    <row r="986" spans="1:10" x14ac:dyDescent="0.35">
      <c r="A986">
        <v>985</v>
      </c>
      <c r="B986" s="1">
        <v>44726</v>
      </c>
      <c r="C986" t="s">
        <v>25</v>
      </c>
      <c r="D986" t="s">
        <v>11</v>
      </c>
      <c r="E986" s="2">
        <v>50</v>
      </c>
      <c r="F986">
        <v>1</v>
      </c>
      <c r="G986" s="2">
        <v>50</v>
      </c>
      <c r="H986" t="s">
        <v>16</v>
      </c>
      <c r="I986" t="s">
        <v>23</v>
      </c>
      <c r="J986" t="s">
        <v>17</v>
      </c>
    </row>
    <row r="987" spans="1:10" x14ac:dyDescent="0.35">
      <c r="A987">
        <v>986</v>
      </c>
      <c r="B987" s="1">
        <v>44681</v>
      </c>
      <c r="C987" t="s">
        <v>18</v>
      </c>
      <c r="D987" t="s">
        <v>19</v>
      </c>
      <c r="E987" s="2">
        <v>25</v>
      </c>
      <c r="F987">
        <v>13</v>
      </c>
      <c r="G987" s="2">
        <v>325</v>
      </c>
      <c r="H987" t="s">
        <v>20</v>
      </c>
      <c r="I987" t="s">
        <v>13</v>
      </c>
      <c r="J987" t="s">
        <v>14</v>
      </c>
    </row>
    <row r="988" spans="1:10" x14ac:dyDescent="0.35">
      <c r="A988">
        <v>987</v>
      </c>
      <c r="B988" s="1">
        <v>44930</v>
      </c>
      <c r="C988" t="s">
        <v>15</v>
      </c>
      <c r="D988" t="s">
        <v>11</v>
      </c>
      <c r="E988" s="2">
        <v>20</v>
      </c>
      <c r="F988">
        <v>3</v>
      </c>
      <c r="G988" s="2">
        <v>60</v>
      </c>
      <c r="H988" t="s">
        <v>16</v>
      </c>
      <c r="I988" t="s">
        <v>23</v>
      </c>
      <c r="J988" t="s">
        <v>21</v>
      </c>
    </row>
    <row r="989" spans="1:10" x14ac:dyDescent="0.35">
      <c r="A989">
        <v>988</v>
      </c>
      <c r="B989" s="1">
        <v>44929</v>
      </c>
      <c r="C989" t="s">
        <v>25</v>
      </c>
      <c r="D989" t="s">
        <v>11</v>
      </c>
      <c r="E989" s="2">
        <v>50</v>
      </c>
      <c r="F989">
        <v>13</v>
      </c>
      <c r="G989" s="2">
        <v>650</v>
      </c>
      <c r="H989" t="s">
        <v>12</v>
      </c>
      <c r="I989" t="s">
        <v>23</v>
      </c>
      <c r="J989" t="s">
        <v>14</v>
      </c>
    </row>
    <row r="990" spans="1:10" x14ac:dyDescent="0.35">
      <c r="A990">
        <v>989</v>
      </c>
      <c r="B990" s="1">
        <v>44845</v>
      </c>
      <c r="C990" t="s">
        <v>28</v>
      </c>
      <c r="D990" t="s">
        <v>19</v>
      </c>
      <c r="E990" s="2">
        <v>40</v>
      </c>
      <c r="F990">
        <v>13</v>
      </c>
      <c r="G990" s="2">
        <v>520</v>
      </c>
      <c r="H990" t="s">
        <v>16</v>
      </c>
      <c r="I990" t="s">
        <v>13</v>
      </c>
      <c r="J990" t="s">
        <v>17</v>
      </c>
    </row>
    <row r="991" spans="1:10" x14ac:dyDescent="0.35">
      <c r="A991">
        <v>990</v>
      </c>
      <c r="B991" s="1">
        <v>44889</v>
      </c>
      <c r="C991" t="s">
        <v>15</v>
      </c>
      <c r="D991" t="s">
        <v>11</v>
      </c>
      <c r="E991" s="2">
        <v>20</v>
      </c>
      <c r="F991">
        <v>10</v>
      </c>
      <c r="G991" s="2">
        <v>200</v>
      </c>
      <c r="H991" t="s">
        <v>20</v>
      </c>
      <c r="I991" t="s">
        <v>23</v>
      </c>
      <c r="J991" t="s">
        <v>24</v>
      </c>
    </row>
    <row r="992" spans="1:10" x14ac:dyDescent="0.35">
      <c r="A992">
        <v>991</v>
      </c>
      <c r="B992" s="1">
        <v>44944</v>
      </c>
      <c r="C992" t="s">
        <v>26</v>
      </c>
      <c r="D992" t="s">
        <v>11</v>
      </c>
      <c r="E992" s="2">
        <v>60</v>
      </c>
      <c r="F992">
        <v>7</v>
      </c>
      <c r="G992" s="2">
        <v>420</v>
      </c>
      <c r="H992" t="s">
        <v>16</v>
      </c>
      <c r="I992" t="s">
        <v>23</v>
      </c>
      <c r="J992" t="s">
        <v>14</v>
      </c>
    </row>
    <row r="993" spans="1:10" x14ac:dyDescent="0.35">
      <c r="A993">
        <v>992</v>
      </c>
      <c r="B993" s="1">
        <v>44855</v>
      </c>
      <c r="C993" t="s">
        <v>26</v>
      </c>
      <c r="D993" t="s">
        <v>11</v>
      </c>
      <c r="E993" s="2">
        <v>60</v>
      </c>
      <c r="F993">
        <v>5</v>
      </c>
      <c r="G993" s="2">
        <v>300</v>
      </c>
      <c r="H993" t="s">
        <v>16</v>
      </c>
      <c r="I993" t="s">
        <v>13</v>
      </c>
      <c r="J993" t="s">
        <v>24</v>
      </c>
    </row>
    <row r="994" spans="1:10" x14ac:dyDescent="0.35">
      <c r="A994">
        <v>993</v>
      </c>
      <c r="B994" s="1">
        <v>44759</v>
      </c>
      <c r="C994" t="s">
        <v>25</v>
      </c>
      <c r="D994" t="s">
        <v>11</v>
      </c>
      <c r="E994" s="2">
        <v>50</v>
      </c>
      <c r="F994">
        <v>3</v>
      </c>
      <c r="G994" s="2">
        <v>150</v>
      </c>
      <c r="H994" t="s">
        <v>20</v>
      </c>
      <c r="I994" t="s">
        <v>23</v>
      </c>
      <c r="J994" t="s">
        <v>14</v>
      </c>
    </row>
    <row r="995" spans="1:10" x14ac:dyDescent="0.35">
      <c r="A995">
        <v>994</v>
      </c>
      <c r="B995" s="1">
        <v>44866</v>
      </c>
      <c r="C995" t="s">
        <v>22</v>
      </c>
      <c r="D995" t="s">
        <v>11</v>
      </c>
      <c r="E995" s="2">
        <v>20</v>
      </c>
      <c r="F995">
        <v>2</v>
      </c>
      <c r="G995" s="2">
        <v>40</v>
      </c>
      <c r="H995" t="s">
        <v>20</v>
      </c>
      <c r="I995" t="s">
        <v>23</v>
      </c>
      <c r="J995" t="s">
        <v>21</v>
      </c>
    </row>
    <row r="996" spans="1:10" x14ac:dyDescent="0.35">
      <c r="A996">
        <v>995</v>
      </c>
      <c r="B996" s="1">
        <v>44730</v>
      </c>
      <c r="C996" t="s">
        <v>18</v>
      </c>
      <c r="D996" t="s">
        <v>19</v>
      </c>
      <c r="E996" s="2">
        <v>25</v>
      </c>
      <c r="F996">
        <v>1</v>
      </c>
      <c r="G996" s="2">
        <v>25</v>
      </c>
      <c r="H996" t="s">
        <v>20</v>
      </c>
      <c r="I996" t="s">
        <v>13</v>
      </c>
      <c r="J996" t="s">
        <v>14</v>
      </c>
    </row>
    <row r="997" spans="1:10" x14ac:dyDescent="0.35">
      <c r="A997">
        <v>996</v>
      </c>
      <c r="B997" s="1">
        <v>45004</v>
      </c>
      <c r="C997" t="s">
        <v>25</v>
      </c>
      <c r="D997" t="s">
        <v>11</v>
      </c>
      <c r="E997" s="2">
        <v>50</v>
      </c>
      <c r="F997">
        <v>10</v>
      </c>
      <c r="G997" s="2">
        <v>500</v>
      </c>
      <c r="H997" t="s">
        <v>12</v>
      </c>
      <c r="I997" t="s">
        <v>23</v>
      </c>
      <c r="J997" t="s">
        <v>21</v>
      </c>
    </row>
    <row r="998" spans="1:10" x14ac:dyDescent="0.35">
      <c r="A998">
        <v>997</v>
      </c>
      <c r="B998" s="1">
        <v>44824</v>
      </c>
      <c r="C998" t="s">
        <v>26</v>
      </c>
      <c r="D998" t="s">
        <v>11</v>
      </c>
      <c r="E998" s="2">
        <v>60</v>
      </c>
      <c r="F998">
        <v>7</v>
      </c>
      <c r="G998" s="2">
        <v>420</v>
      </c>
      <c r="H998" t="s">
        <v>12</v>
      </c>
      <c r="I998" t="s">
        <v>13</v>
      </c>
      <c r="J998" t="s">
        <v>21</v>
      </c>
    </row>
    <row r="999" spans="1:10" x14ac:dyDescent="0.35">
      <c r="A999">
        <v>998</v>
      </c>
      <c r="B999" s="1">
        <v>44952</v>
      </c>
      <c r="C999" t="s">
        <v>26</v>
      </c>
      <c r="D999" t="s">
        <v>11</v>
      </c>
      <c r="E999" s="2">
        <v>60</v>
      </c>
      <c r="F999">
        <v>13</v>
      </c>
      <c r="G999" s="2">
        <v>780</v>
      </c>
      <c r="H999" t="s">
        <v>12</v>
      </c>
      <c r="I999" t="s">
        <v>13</v>
      </c>
      <c r="J999" t="s">
        <v>21</v>
      </c>
    </row>
    <row r="1000" spans="1:10" x14ac:dyDescent="0.35">
      <c r="A1000">
        <v>999</v>
      </c>
      <c r="B1000" s="1">
        <v>44800</v>
      </c>
      <c r="C1000" t="s">
        <v>22</v>
      </c>
      <c r="D1000" t="s">
        <v>11</v>
      </c>
      <c r="E1000" s="2">
        <v>20</v>
      </c>
      <c r="F1000">
        <v>5</v>
      </c>
      <c r="G1000" s="2">
        <v>100</v>
      </c>
      <c r="H1000" t="s">
        <v>12</v>
      </c>
      <c r="I1000" t="s">
        <v>23</v>
      </c>
      <c r="J1000" t="s">
        <v>17</v>
      </c>
    </row>
    <row r="1001" spans="1:10" x14ac:dyDescent="0.35">
      <c r="A1001">
        <v>1000</v>
      </c>
      <c r="B1001" s="1">
        <v>44710</v>
      </c>
      <c r="C1001" t="s">
        <v>10</v>
      </c>
      <c r="D1001" t="s">
        <v>11</v>
      </c>
      <c r="E1001" s="2">
        <v>20</v>
      </c>
      <c r="F1001">
        <v>3</v>
      </c>
      <c r="G1001" s="2">
        <v>60</v>
      </c>
      <c r="H1001" t="s">
        <v>20</v>
      </c>
      <c r="I1001" t="s">
        <v>23</v>
      </c>
      <c r="J1001" t="s">
        <v>27</v>
      </c>
    </row>
  </sheetData>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D72F6F-1AED-4D82-AB59-916C3DBB003B}">
  <dimension ref="A3:A1004"/>
  <sheetViews>
    <sheetView topLeftCell="A980" workbookViewId="0">
      <selection activeCell="A3" sqref="A3"/>
    </sheetView>
  </sheetViews>
  <sheetFormatPr defaultRowHeight="14.5" x14ac:dyDescent="0.35"/>
  <cols>
    <col min="1" max="1" width="14.3984375" bestFit="1" customWidth="1"/>
  </cols>
  <sheetData>
    <row r="3" spans="1:1" x14ac:dyDescent="0.35">
      <c r="A3" s="4" t="s">
        <v>31</v>
      </c>
    </row>
    <row r="4" spans="1:1" x14ac:dyDescent="0.35">
      <c r="A4" s="5">
        <v>1</v>
      </c>
    </row>
    <row r="5" spans="1:1" x14ac:dyDescent="0.35">
      <c r="A5" s="5">
        <v>2</v>
      </c>
    </row>
    <row r="6" spans="1:1" x14ac:dyDescent="0.35">
      <c r="A6" s="5">
        <v>3</v>
      </c>
    </row>
    <row r="7" spans="1:1" x14ac:dyDescent="0.35">
      <c r="A7" s="5">
        <v>4</v>
      </c>
    </row>
    <row r="8" spans="1:1" x14ac:dyDescent="0.35">
      <c r="A8" s="5">
        <v>5</v>
      </c>
    </row>
    <row r="9" spans="1:1" x14ac:dyDescent="0.35">
      <c r="A9" s="5">
        <v>6</v>
      </c>
    </row>
    <row r="10" spans="1:1" x14ac:dyDescent="0.35">
      <c r="A10" s="5">
        <v>7</v>
      </c>
    </row>
    <row r="11" spans="1:1" x14ac:dyDescent="0.35">
      <c r="A11" s="5">
        <v>8</v>
      </c>
    </row>
    <row r="12" spans="1:1" x14ac:dyDescent="0.35">
      <c r="A12" s="5">
        <v>9</v>
      </c>
    </row>
    <row r="13" spans="1:1" x14ac:dyDescent="0.35">
      <c r="A13" s="5">
        <v>10</v>
      </c>
    </row>
    <row r="14" spans="1:1" x14ac:dyDescent="0.35">
      <c r="A14" s="5">
        <v>11</v>
      </c>
    </row>
    <row r="15" spans="1:1" x14ac:dyDescent="0.35">
      <c r="A15" s="5">
        <v>12</v>
      </c>
    </row>
    <row r="16" spans="1:1" x14ac:dyDescent="0.35">
      <c r="A16" s="5">
        <v>13</v>
      </c>
    </row>
    <row r="17" spans="1:1" x14ac:dyDescent="0.35">
      <c r="A17" s="5">
        <v>14</v>
      </c>
    </row>
    <row r="18" spans="1:1" x14ac:dyDescent="0.35">
      <c r="A18" s="5">
        <v>15</v>
      </c>
    </row>
    <row r="19" spans="1:1" x14ac:dyDescent="0.35">
      <c r="A19" s="5">
        <v>16</v>
      </c>
    </row>
    <row r="20" spans="1:1" x14ac:dyDescent="0.35">
      <c r="A20" s="5">
        <v>17</v>
      </c>
    </row>
    <row r="21" spans="1:1" x14ac:dyDescent="0.35">
      <c r="A21" s="5">
        <v>18</v>
      </c>
    </row>
    <row r="22" spans="1:1" x14ac:dyDescent="0.35">
      <c r="A22" s="5">
        <v>19</v>
      </c>
    </row>
    <row r="23" spans="1:1" x14ac:dyDescent="0.35">
      <c r="A23" s="5">
        <v>20</v>
      </c>
    </row>
    <row r="24" spans="1:1" x14ac:dyDescent="0.35">
      <c r="A24" s="5">
        <v>21</v>
      </c>
    </row>
    <row r="25" spans="1:1" x14ac:dyDescent="0.35">
      <c r="A25" s="5">
        <v>22</v>
      </c>
    </row>
    <row r="26" spans="1:1" x14ac:dyDescent="0.35">
      <c r="A26" s="5">
        <v>23</v>
      </c>
    </row>
    <row r="27" spans="1:1" x14ac:dyDescent="0.35">
      <c r="A27" s="5">
        <v>24</v>
      </c>
    </row>
    <row r="28" spans="1:1" x14ac:dyDescent="0.35">
      <c r="A28" s="5">
        <v>25</v>
      </c>
    </row>
    <row r="29" spans="1:1" x14ac:dyDescent="0.35">
      <c r="A29" s="5">
        <v>26</v>
      </c>
    </row>
    <row r="30" spans="1:1" x14ac:dyDescent="0.35">
      <c r="A30" s="5">
        <v>27</v>
      </c>
    </row>
    <row r="31" spans="1:1" x14ac:dyDescent="0.35">
      <c r="A31" s="5">
        <v>28</v>
      </c>
    </row>
    <row r="32" spans="1:1" x14ac:dyDescent="0.35">
      <c r="A32" s="5">
        <v>29</v>
      </c>
    </row>
    <row r="33" spans="1:1" x14ac:dyDescent="0.35">
      <c r="A33" s="5">
        <v>30</v>
      </c>
    </row>
    <row r="34" spans="1:1" x14ac:dyDescent="0.35">
      <c r="A34" s="5">
        <v>31</v>
      </c>
    </row>
    <row r="35" spans="1:1" x14ac:dyDescent="0.35">
      <c r="A35" s="5">
        <v>32</v>
      </c>
    </row>
    <row r="36" spans="1:1" x14ac:dyDescent="0.35">
      <c r="A36" s="5">
        <v>33</v>
      </c>
    </row>
    <row r="37" spans="1:1" x14ac:dyDescent="0.35">
      <c r="A37" s="5">
        <v>34</v>
      </c>
    </row>
    <row r="38" spans="1:1" x14ac:dyDescent="0.35">
      <c r="A38" s="5">
        <v>35</v>
      </c>
    </row>
    <row r="39" spans="1:1" x14ac:dyDescent="0.35">
      <c r="A39" s="5">
        <v>36</v>
      </c>
    </row>
    <row r="40" spans="1:1" x14ac:dyDescent="0.35">
      <c r="A40" s="5">
        <v>37</v>
      </c>
    </row>
    <row r="41" spans="1:1" x14ac:dyDescent="0.35">
      <c r="A41" s="5">
        <v>38</v>
      </c>
    </row>
    <row r="42" spans="1:1" x14ac:dyDescent="0.35">
      <c r="A42" s="5">
        <v>39</v>
      </c>
    </row>
    <row r="43" spans="1:1" x14ac:dyDescent="0.35">
      <c r="A43" s="5">
        <v>40</v>
      </c>
    </row>
    <row r="44" spans="1:1" x14ac:dyDescent="0.35">
      <c r="A44" s="5">
        <v>41</v>
      </c>
    </row>
    <row r="45" spans="1:1" x14ac:dyDescent="0.35">
      <c r="A45" s="5">
        <v>42</v>
      </c>
    </row>
    <row r="46" spans="1:1" x14ac:dyDescent="0.35">
      <c r="A46" s="5">
        <v>43</v>
      </c>
    </row>
    <row r="47" spans="1:1" x14ac:dyDescent="0.35">
      <c r="A47" s="5">
        <v>44</v>
      </c>
    </row>
    <row r="48" spans="1:1" x14ac:dyDescent="0.35">
      <c r="A48" s="5">
        <v>45</v>
      </c>
    </row>
    <row r="49" spans="1:1" x14ac:dyDescent="0.35">
      <c r="A49" s="5">
        <v>46</v>
      </c>
    </row>
    <row r="50" spans="1:1" x14ac:dyDescent="0.35">
      <c r="A50" s="5">
        <v>47</v>
      </c>
    </row>
    <row r="51" spans="1:1" x14ac:dyDescent="0.35">
      <c r="A51" s="5">
        <v>48</v>
      </c>
    </row>
    <row r="52" spans="1:1" x14ac:dyDescent="0.35">
      <c r="A52" s="5">
        <v>49</v>
      </c>
    </row>
    <row r="53" spans="1:1" x14ac:dyDescent="0.35">
      <c r="A53" s="5">
        <v>50</v>
      </c>
    </row>
    <row r="54" spans="1:1" x14ac:dyDescent="0.35">
      <c r="A54" s="5">
        <v>51</v>
      </c>
    </row>
    <row r="55" spans="1:1" x14ac:dyDescent="0.35">
      <c r="A55" s="5">
        <v>52</v>
      </c>
    </row>
    <row r="56" spans="1:1" x14ac:dyDescent="0.35">
      <c r="A56" s="5">
        <v>53</v>
      </c>
    </row>
    <row r="57" spans="1:1" x14ac:dyDescent="0.35">
      <c r="A57" s="5">
        <v>54</v>
      </c>
    </row>
    <row r="58" spans="1:1" x14ac:dyDescent="0.35">
      <c r="A58" s="5">
        <v>55</v>
      </c>
    </row>
    <row r="59" spans="1:1" x14ac:dyDescent="0.35">
      <c r="A59" s="5">
        <v>56</v>
      </c>
    </row>
    <row r="60" spans="1:1" x14ac:dyDescent="0.35">
      <c r="A60" s="5">
        <v>57</v>
      </c>
    </row>
    <row r="61" spans="1:1" x14ac:dyDescent="0.35">
      <c r="A61" s="5">
        <v>58</v>
      </c>
    </row>
    <row r="62" spans="1:1" x14ac:dyDescent="0.35">
      <c r="A62" s="5">
        <v>59</v>
      </c>
    </row>
    <row r="63" spans="1:1" x14ac:dyDescent="0.35">
      <c r="A63" s="5">
        <v>60</v>
      </c>
    </row>
    <row r="64" spans="1:1" x14ac:dyDescent="0.35">
      <c r="A64" s="5">
        <v>61</v>
      </c>
    </row>
    <row r="65" spans="1:1" x14ac:dyDescent="0.35">
      <c r="A65" s="5">
        <v>62</v>
      </c>
    </row>
    <row r="66" spans="1:1" x14ac:dyDescent="0.35">
      <c r="A66" s="5">
        <v>63</v>
      </c>
    </row>
    <row r="67" spans="1:1" x14ac:dyDescent="0.35">
      <c r="A67" s="5">
        <v>64</v>
      </c>
    </row>
    <row r="68" spans="1:1" x14ac:dyDescent="0.35">
      <c r="A68" s="5">
        <v>65</v>
      </c>
    </row>
    <row r="69" spans="1:1" x14ac:dyDescent="0.35">
      <c r="A69" s="5">
        <v>66</v>
      </c>
    </row>
    <row r="70" spans="1:1" x14ac:dyDescent="0.35">
      <c r="A70" s="5">
        <v>67</v>
      </c>
    </row>
    <row r="71" spans="1:1" x14ac:dyDescent="0.35">
      <c r="A71" s="5">
        <v>68</v>
      </c>
    </row>
    <row r="72" spans="1:1" x14ac:dyDescent="0.35">
      <c r="A72" s="5">
        <v>69</v>
      </c>
    </row>
    <row r="73" spans="1:1" x14ac:dyDescent="0.35">
      <c r="A73" s="5">
        <v>70</v>
      </c>
    </row>
    <row r="74" spans="1:1" x14ac:dyDescent="0.35">
      <c r="A74" s="5">
        <v>71</v>
      </c>
    </row>
    <row r="75" spans="1:1" x14ac:dyDescent="0.35">
      <c r="A75" s="5">
        <v>72</v>
      </c>
    </row>
    <row r="76" spans="1:1" x14ac:dyDescent="0.35">
      <c r="A76" s="5">
        <v>73</v>
      </c>
    </row>
    <row r="77" spans="1:1" x14ac:dyDescent="0.35">
      <c r="A77" s="5">
        <v>74</v>
      </c>
    </row>
    <row r="78" spans="1:1" x14ac:dyDescent="0.35">
      <c r="A78" s="5">
        <v>75</v>
      </c>
    </row>
    <row r="79" spans="1:1" x14ac:dyDescent="0.35">
      <c r="A79" s="5">
        <v>76</v>
      </c>
    </row>
    <row r="80" spans="1:1" x14ac:dyDescent="0.35">
      <c r="A80" s="5">
        <v>77</v>
      </c>
    </row>
    <row r="81" spans="1:1" x14ac:dyDescent="0.35">
      <c r="A81" s="5">
        <v>78</v>
      </c>
    </row>
    <row r="82" spans="1:1" x14ac:dyDescent="0.35">
      <c r="A82" s="5">
        <v>79</v>
      </c>
    </row>
    <row r="83" spans="1:1" x14ac:dyDescent="0.35">
      <c r="A83" s="5">
        <v>80</v>
      </c>
    </row>
    <row r="84" spans="1:1" x14ac:dyDescent="0.35">
      <c r="A84" s="5">
        <v>81</v>
      </c>
    </row>
    <row r="85" spans="1:1" x14ac:dyDescent="0.35">
      <c r="A85" s="5">
        <v>82</v>
      </c>
    </row>
    <row r="86" spans="1:1" x14ac:dyDescent="0.35">
      <c r="A86" s="5">
        <v>83</v>
      </c>
    </row>
    <row r="87" spans="1:1" x14ac:dyDescent="0.35">
      <c r="A87" s="5">
        <v>84</v>
      </c>
    </row>
    <row r="88" spans="1:1" x14ac:dyDescent="0.35">
      <c r="A88" s="5">
        <v>85</v>
      </c>
    </row>
    <row r="89" spans="1:1" x14ac:dyDescent="0.35">
      <c r="A89" s="5">
        <v>86</v>
      </c>
    </row>
    <row r="90" spans="1:1" x14ac:dyDescent="0.35">
      <c r="A90" s="5">
        <v>87</v>
      </c>
    </row>
    <row r="91" spans="1:1" x14ac:dyDescent="0.35">
      <c r="A91" s="5">
        <v>88</v>
      </c>
    </row>
    <row r="92" spans="1:1" x14ac:dyDescent="0.35">
      <c r="A92" s="5">
        <v>89</v>
      </c>
    </row>
    <row r="93" spans="1:1" x14ac:dyDescent="0.35">
      <c r="A93" s="5">
        <v>90</v>
      </c>
    </row>
    <row r="94" spans="1:1" x14ac:dyDescent="0.35">
      <c r="A94" s="5">
        <v>91</v>
      </c>
    </row>
    <row r="95" spans="1:1" x14ac:dyDescent="0.35">
      <c r="A95" s="5">
        <v>92</v>
      </c>
    </row>
    <row r="96" spans="1:1" x14ac:dyDescent="0.35">
      <c r="A96" s="5">
        <v>93</v>
      </c>
    </row>
    <row r="97" spans="1:1" x14ac:dyDescent="0.35">
      <c r="A97" s="5">
        <v>94</v>
      </c>
    </row>
    <row r="98" spans="1:1" x14ac:dyDescent="0.35">
      <c r="A98" s="5">
        <v>95</v>
      </c>
    </row>
    <row r="99" spans="1:1" x14ac:dyDescent="0.35">
      <c r="A99" s="5">
        <v>96</v>
      </c>
    </row>
    <row r="100" spans="1:1" x14ac:dyDescent="0.35">
      <c r="A100" s="5">
        <v>97</v>
      </c>
    </row>
    <row r="101" spans="1:1" x14ac:dyDescent="0.35">
      <c r="A101" s="5">
        <v>98</v>
      </c>
    </row>
    <row r="102" spans="1:1" x14ac:dyDescent="0.35">
      <c r="A102" s="5">
        <v>99</v>
      </c>
    </row>
    <row r="103" spans="1:1" x14ac:dyDescent="0.35">
      <c r="A103" s="5">
        <v>100</v>
      </c>
    </row>
    <row r="104" spans="1:1" x14ac:dyDescent="0.35">
      <c r="A104" s="5">
        <v>101</v>
      </c>
    </row>
    <row r="105" spans="1:1" x14ac:dyDescent="0.35">
      <c r="A105" s="5">
        <v>102</v>
      </c>
    </row>
    <row r="106" spans="1:1" x14ac:dyDescent="0.35">
      <c r="A106" s="5">
        <v>103</v>
      </c>
    </row>
    <row r="107" spans="1:1" x14ac:dyDescent="0.35">
      <c r="A107" s="5">
        <v>104</v>
      </c>
    </row>
    <row r="108" spans="1:1" x14ac:dyDescent="0.35">
      <c r="A108" s="5">
        <v>105</v>
      </c>
    </row>
    <row r="109" spans="1:1" x14ac:dyDescent="0.35">
      <c r="A109" s="5">
        <v>106</v>
      </c>
    </row>
    <row r="110" spans="1:1" x14ac:dyDescent="0.35">
      <c r="A110" s="5">
        <v>107</v>
      </c>
    </row>
    <row r="111" spans="1:1" x14ac:dyDescent="0.35">
      <c r="A111" s="5">
        <v>108</v>
      </c>
    </row>
    <row r="112" spans="1:1" x14ac:dyDescent="0.35">
      <c r="A112" s="5">
        <v>109</v>
      </c>
    </row>
    <row r="113" spans="1:1" x14ac:dyDescent="0.35">
      <c r="A113" s="5">
        <v>110</v>
      </c>
    </row>
    <row r="114" spans="1:1" x14ac:dyDescent="0.35">
      <c r="A114" s="5">
        <v>111</v>
      </c>
    </row>
    <row r="115" spans="1:1" x14ac:dyDescent="0.35">
      <c r="A115" s="5">
        <v>112</v>
      </c>
    </row>
    <row r="116" spans="1:1" x14ac:dyDescent="0.35">
      <c r="A116" s="5">
        <v>113</v>
      </c>
    </row>
    <row r="117" spans="1:1" x14ac:dyDescent="0.35">
      <c r="A117" s="5">
        <v>114</v>
      </c>
    </row>
    <row r="118" spans="1:1" x14ac:dyDescent="0.35">
      <c r="A118" s="5">
        <v>115</v>
      </c>
    </row>
    <row r="119" spans="1:1" x14ac:dyDescent="0.35">
      <c r="A119" s="5">
        <v>116</v>
      </c>
    </row>
    <row r="120" spans="1:1" x14ac:dyDescent="0.35">
      <c r="A120" s="5">
        <v>117</v>
      </c>
    </row>
    <row r="121" spans="1:1" x14ac:dyDescent="0.35">
      <c r="A121" s="5">
        <v>118</v>
      </c>
    </row>
    <row r="122" spans="1:1" x14ac:dyDescent="0.35">
      <c r="A122" s="5">
        <v>119</v>
      </c>
    </row>
    <row r="123" spans="1:1" x14ac:dyDescent="0.35">
      <c r="A123" s="5">
        <v>120</v>
      </c>
    </row>
    <row r="124" spans="1:1" x14ac:dyDescent="0.35">
      <c r="A124" s="5">
        <v>121</v>
      </c>
    </row>
    <row r="125" spans="1:1" x14ac:dyDescent="0.35">
      <c r="A125" s="5">
        <v>122</v>
      </c>
    </row>
    <row r="126" spans="1:1" x14ac:dyDescent="0.35">
      <c r="A126" s="5">
        <v>123</v>
      </c>
    </row>
    <row r="127" spans="1:1" x14ac:dyDescent="0.35">
      <c r="A127" s="5">
        <v>124</v>
      </c>
    </row>
    <row r="128" spans="1:1" x14ac:dyDescent="0.35">
      <c r="A128" s="5">
        <v>125</v>
      </c>
    </row>
    <row r="129" spans="1:1" x14ac:dyDescent="0.35">
      <c r="A129" s="5">
        <v>126</v>
      </c>
    </row>
    <row r="130" spans="1:1" x14ac:dyDescent="0.35">
      <c r="A130" s="5">
        <v>127</v>
      </c>
    </row>
    <row r="131" spans="1:1" x14ac:dyDescent="0.35">
      <c r="A131" s="5">
        <v>128</v>
      </c>
    </row>
    <row r="132" spans="1:1" x14ac:dyDescent="0.35">
      <c r="A132" s="5">
        <v>129</v>
      </c>
    </row>
    <row r="133" spans="1:1" x14ac:dyDescent="0.35">
      <c r="A133" s="5">
        <v>130</v>
      </c>
    </row>
    <row r="134" spans="1:1" x14ac:dyDescent="0.35">
      <c r="A134" s="5">
        <v>131</v>
      </c>
    </row>
    <row r="135" spans="1:1" x14ac:dyDescent="0.35">
      <c r="A135" s="5">
        <v>132</v>
      </c>
    </row>
    <row r="136" spans="1:1" x14ac:dyDescent="0.35">
      <c r="A136" s="5">
        <v>133</v>
      </c>
    </row>
    <row r="137" spans="1:1" x14ac:dyDescent="0.35">
      <c r="A137" s="5">
        <v>134</v>
      </c>
    </row>
    <row r="138" spans="1:1" x14ac:dyDescent="0.35">
      <c r="A138" s="5">
        <v>135</v>
      </c>
    </row>
    <row r="139" spans="1:1" x14ac:dyDescent="0.35">
      <c r="A139" s="5">
        <v>136</v>
      </c>
    </row>
    <row r="140" spans="1:1" x14ac:dyDescent="0.35">
      <c r="A140" s="5">
        <v>137</v>
      </c>
    </row>
    <row r="141" spans="1:1" x14ac:dyDescent="0.35">
      <c r="A141" s="5">
        <v>138</v>
      </c>
    </row>
    <row r="142" spans="1:1" x14ac:dyDescent="0.35">
      <c r="A142" s="5">
        <v>139</v>
      </c>
    </row>
    <row r="143" spans="1:1" x14ac:dyDescent="0.35">
      <c r="A143" s="5">
        <v>140</v>
      </c>
    </row>
    <row r="144" spans="1:1" x14ac:dyDescent="0.35">
      <c r="A144" s="5">
        <v>141</v>
      </c>
    </row>
    <row r="145" spans="1:1" x14ac:dyDescent="0.35">
      <c r="A145" s="5">
        <v>142</v>
      </c>
    </row>
    <row r="146" spans="1:1" x14ac:dyDescent="0.35">
      <c r="A146" s="5">
        <v>143</v>
      </c>
    </row>
    <row r="147" spans="1:1" x14ac:dyDescent="0.35">
      <c r="A147" s="5">
        <v>144</v>
      </c>
    </row>
    <row r="148" spans="1:1" x14ac:dyDescent="0.35">
      <c r="A148" s="5">
        <v>145</v>
      </c>
    </row>
    <row r="149" spans="1:1" x14ac:dyDescent="0.35">
      <c r="A149" s="5">
        <v>146</v>
      </c>
    </row>
    <row r="150" spans="1:1" x14ac:dyDescent="0.35">
      <c r="A150" s="5">
        <v>147</v>
      </c>
    </row>
    <row r="151" spans="1:1" x14ac:dyDescent="0.35">
      <c r="A151" s="5">
        <v>148</v>
      </c>
    </row>
    <row r="152" spans="1:1" x14ac:dyDescent="0.35">
      <c r="A152" s="5">
        <v>149</v>
      </c>
    </row>
    <row r="153" spans="1:1" x14ac:dyDescent="0.35">
      <c r="A153" s="5">
        <v>150</v>
      </c>
    </row>
    <row r="154" spans="1:1" x14ac:dyDescent="0.35">
      <c r="A154" s="5">
        <v>151</v>
      </c>
    </row>
    <row r="155" spans="1:1" x14ac:dyDescent="0.35">
      <c r="A155" s="5">
        <v>152</v>
      </c>
    </row>
    <row r="156" spans="1:1" x14ac:dyDescent="0.35">
      <c r="A156" s="5">
        <v>153</v>
      </c>
    </row>
    <row r="157" spans="1:1" x14ac:dyDescent="0.35">
      <c r="A157" s="5">
        <v>154</v>
      </c>
    </row>
    <row r="158" spans="1:1" x14ac:dyDescent="0.35">
      <c r="A158" s="5">
        <v>155</v>
      </c>
    </row>
    <row r="159" spans="1:1" x14ac:dyDescent="0.35">
      <c r="A159" s="5">
        <v>156</v>
      </c>
    </row>
    <row r="160" spans="1:1" x14ac:dyDescent="0.35">
      <c r="A160" s="5">
        <v>157</v>
      </c>
    </row>
    <row r="161" spans="1:1" x14ac:dyDescent="0.35">
      <c r="A161" s="5">
        <v>158</v>
      </c>
    </row>
    <row r="162" spans="1:1" x14ac:dyDescent="0.35">
      <c r="A162" s="5">
        <v>159</v>
      </c>
    </row>
    <row r="163" spans="1:1" x14ac:dyDescent="0.35">
      <c r="A163" s="5">
        <v>160</v>
      </c>
    </row>
    <row r="164" spans="1:1" x14ac:dyDescent="0.35">
      <c r="A164" s="5">
        <v>161</v>
      </c>
    </row>
    <row r="165" spans="1:1" x14ac:dyDescent="0.35">
      <c r="A165" s="5">
        <v>162</v>
      </c>
    </row>
    <row r="166" spans="1:1" x14ac:dyDescent="0.35">
      <c r="A166" s="5">
        <v>163</v>
      </c>
    </row>
    <row r="167" spans="1:1" x14ac:dyDescent="0.35">
      <c r="A167" s="5">
        <v>164</v>
      </c>
    </row>
    <row r="168" spans="1:1" x14ac:dyDescent="0.35">
      <c r="A168" s="5">
        <v>165</v>
      </c>
    </row>
    <row r="169" spans="1:1" x14ac:dyDescent="0.35">
      <c r="A169" s="5">
        <v>166</v>
      </c>
    </row>
    <row r="170" spans="1:1" x14ac:dyDescent="0.35">
      <c r="A170" s="5">
        <v>167</v>
      </c>
    </row>
    <row r="171" spans="1:1" x14ac:dyDescent="0.35">
      <c r="A171" s="5">
        <v>168</v>
      </c>
    </row>
    <row r="172" spans="1:1" x14ac:dyDescent="0.35">
      <c r="A172" s="5">
        <v>169</v>
      </c>
    </row>
    <row r="173" spans="1:1" x14ac:dyDescent="0.35">
      <c r="A173" s="5">
        <v>170</v>
      </c>
    </row>
    <row r="174" spans="1:1" x14ac:dyDescent="0.35">
      <c r="A174" s="5">
        <v>171</v>
      </c>
    </row>
    <row r="175" spans="1:1" x14ac:dyDescent="0.35">
      <c r="A175" s="5">
        <v>172</v>
      </c>
    </row>
    <row r="176" spans="1:1" x14ac:dyDescent="0.35">
      <c r="A176" s="5">
        <v>173</v>
      </c>
    </row>
    <row r="177" spans="1:1" x14ac:dyDescent="0.35">
      <c r="A177" s="5">
        <v>174</v>
      </c>
    </row>
    <row r="178" spans="1:1" x14ac:dyDescent="0.35">
      <c r="A178" s="5">
        <v>175</v>
      </c>
    </row>
    <row r="179" spans="1:1" x14ac:dyDescent="0.35">
      <c r="A179" s="5">
        <v>176</v>
      </c>
    </row>
    <row r="180" spans="1:1" x14ac:dyDescent="0.35">
      <c r="A180" s="5">
        <v>177</v>
      </c>
    </row>
    <row r="181" spans="1:1" x14ac:dyDescent="0.35">
      <c r="A181" s="5">
        <v>178</v>
      </c>
    </row>
    <row r="182" spans="1:1" x14ac:dyDescent="0.35">
      <c r="A182" s="5">
        <v>179</v>
      </c>
    </row>
    <row r="183" spans="1:1" x14ac:dyDescent="0.35">
      <c r="A183" s="5">
        <v>180</v>
      </c>
    </row>
    <row r="184" spans="1:1" x14ac:dyDescent="0.35">
      <c r="A184" s="5">
        <v>181</v>
      </c>
    </row>
    <row r="185" spans="1:1" x14ac:dyDescent="0.35">
      <c r="A185" s="5">
        <v>182</v>
      </c>
    </row>
    <row r="186" spans="1:1" x14ac:dyDescent="0.35">
      <c r="A186" s="5">
        <v>183</v>
      </c>
    </row>
    <row r="187" spans="1:1" x14ac:dyDescent="0.35">
      <c r="A187" s="5">
        <v>184</v>
      </c>
    </row>
    <row r="188" spans="1:1" x14ac:dyDescent="0.35">
      <c r="A188" s="5">
        <v>185</v>
      </c>
    </row>
    <row r="189" spans="1:1" x14ac:dyDescent="0.35">
      <c r="A189" s="5">
        <v>186</v>
      </c>
    </row>
    <row r="190" spans="1:1" x14ac:dyDescent="0.35">
      <c r="A190" s="5">
        <v>187</v>
      </c>
    </row>
    <row r="191" spans="1:1" x14ac:dyDescent="0.35">
      <c r="A191" s="5">
        <v>188</v>
      </c>
    </row>
    <row r="192" spans="1:1" x14ac:dyDescent="0.35">
      <c r="A192" s="5">
        <v>189</v>
      </c>
    </row>
    <row r="193" spans="1:1" x14ac:dyDescent="0.35">
      <c r="A193" s="5">
        <v>190</v>
      </c>
    </row>
    <row r="194" spans="1:1" x14ac:dyDescent="0.35">
      <c r="A194" s="5">
        <v>191</v>
      </c>
    </row>
    <row r="195" spans="1:1" x14ac:dyDescent="0.35">
      <c r="A195" s="5">
        <v>192</v>
      </c>
    </row>
    <row r="196" spans="1:1" x14ac:dyDescent="0.35">
      <c r="A196" s="5">
        <v>193</v>
      </c>
    </row>
    <row r="197" spans="1:1" x14ac:dyDescent="0.35">
      <c r="A197" s="5">
        <v>194</v>
      </c>
    </row>
    <row r="198" spans="1:1" x14ac:dyDescent="0.35">
      <c r="A198" s="5">
        <v>195</v>
      </c>
    </row>
    <row r="199" spans="1:1" x14ac:dyDescent="0.35">
      <c r="A199" s="5">
        <v>196</v>
      </c>
    </row>
    <row r="200" spans="1:1" x14ac:dyDescent="0.35">
      <c r="A200" s="5">
        <v>197</v>
      </c>
    </row>
    <row r="201" spans="1:1" x14ac:dyDescent="0.35">
      <c r="A201" s="5">
        <v>198</v>
      </c>
    </row>
    <row r="202" spans="1:1" x14ac:dyDescent="0.35">
      <c r="A202" s="5">
        <v>199</v>
      </c>
    </row>
    <row r="203" spans="1:1" x14ac:dyDescent="0.35">
      <c r="A203" s="5">
        <v>200</v>
      </c>
    </row>
    <row r="204" spans="1:1" x14ac:dyDescent="0.35">
      <c r="A204" s="5">
        <v>201</v>
      </c>
    </row>
    <row r="205" spans="1:1" x14ac:dyDescent="0.35">
      <c r="A205" s="5">
        <v>202</v>
      </c>
    </row>
    <row r="206" spans="1:1" x14ac:dyDescent="0.35">
      <c r="A206" s="5">
        <v>203</v>
      </c>
    </row>
    <row r="207" spans="1:1" x14ac:dyDescent="0.35">
      <c r="A207" s="5">
        <v>204</v>
      </c>
    </row>
    <row r="208" spans="1:1" x14ac:dyDescent="0.35">
      <c r="A208" s="5">
        <v>205</v>
      </c>
    </row>
    <row r="209" spans="1:1" x14ac:dyDescent="0.35">
      <c r="A209" s="5">
        <v>206</v>
      </c>
    </row>
    <row r="210" spans="1:1" x14ac:dyDescent="0.35">
      <c r="A210" s="5">
        <v>207</v>
      </c>
    </row>
    <row r="211" spans="1:1" x14ac:dyDescent="0.35">
      <c r="A211" s="5">
        <v>208</v>
      </c>
    </row>
    <row r="212" spans="1:1" x14ac:dyDescent="0.35">
      <c r="A212" s="5">
        <v>209</v>
      </c>
    </row>
    <row r="213" spans="1:1" x14ac:dyDescent="0.35">
      <c r="A213" s="5">
        <v>210</v>
      </c>
    </row>
    <row r="214" spans="1:1" x14ac:dyDescent="0.35">
      <c r="A214" s="5">
        <v>211</v>
      </c>
    </row>
    <row r="215" spans="1:1" x14ac:dyDescent="0.35">
      <c r="A215" s="5">
        <v>212</v>
      </c>
    </row>
    <row r="216" spans="1:1" x14ac:dyDescent="0.35">
      <c r="A216" s="5">
        <v>213</v>
      </c>
    </row>
    <row r="217" spans="1:1" x14ac:dyDescent="0.35">
      <c r="A217" s="5">
        <v>214</v>
      </c>
    </row>
    <row r="218" spans="1:1" x14ac:dyDescent="0.35">
      <c r="A218" s="5">
        <v>215</v>
      </c>
    </row>
    <row r="219" spans="1:1" x14ac:dyDescent="0.35">
      <c r="A219" s="5">
        <v>216</v>
      </c>
    </row>
    <row r="220" spans="1:1" x14ac:dyDescent="0.35">
      <c r="A220" s="5">
        <v>217</v>
      </c>
    </row>
    <row r="221" spans="1:1" x14ac:dyDescent="0.35">
      <c r="A221" s="5">
        <v>218</v>
      </c>
    </row>
    <row r="222" spans="1:1" x14ac:dyDescent="0.35">
      <c r="A222" s="5">
        <v>219</v>
      </c>
    </row>
    <row r="223" spans="1:1" x14ac:dyDescent="0.35">
      <c r="A223" s="5">
        <v>220</v>
      </c>
    </row>
    <row r="224" spans="1:1" x14ac:dyDescent="0.35">
      <c r="A224" s="5">
        <v>221</v>
      </c>
    </row>
    <row r="225" spans="1:1" x14ac:dyDescent="0.35">
      <c r="A225" s="5">
        <v>222</v>
      </c>
    </row>
    <row r="226" spans="1:1" x14ac:dyDescent="0.35">
      <c r="A226" s="5">
        <v>223</v>
      </c>
    </row>
    <row r="227" spans="1:1" x14ac:dyDescent="0.35">
      <c r="A227" s="5">
        <v>224</v>
      </c>
    </row>
    <row r="228" spans="1:1" x14ac:dyDescent="0.35">
      <c r="A228" s="5">
        <v>225</v>
      </c>
    </row>
    <row r="229" spans="1:1" x14ac:dyDescent="0.35">
      <c r="A229" s="5">
        <v>226</v>
      </c>
    </row>
    <row r="230" spans="1:1" x14ac:dyDescent="0.35">
      <c r="A230" s="5">
        <v>227</v>
      </c>
    </row>
    <row r="231" spans="1:1" x14ac:dyDescent="0.35">
      <c r="A231" s="5">
        <v>228</v>
      </c>
    </row>
    <row r="232" spans="1:1" x14ac:dyDescent="0.35">
      <c r="A232" s="5">
        <v>229</v>
      </c>
    </row>
    <row r="233" spans="1:1" x14ac:dyDescent="0.35">
      <c r="A233" s="5">
        <v>230</v>
      </c>
    </row>
    <row r="234" spans="1:1" x14ac:dyDescent="0.35">
      <c r="A234" s="5">
        <v>231</v>
      </c>
    </row>
    <row r="235" spans="1:1" x14ac:dyDescent="0.35">
      <c r="A235" s="5">
        <v>232</v>
      </c>
    </row>
    <row r="236" spans="1:1" x14ac:dyDescent="0.35">
      <c r="A236" s="5">
        <v>233</v>
      </c>
    </row>
    <row r="237" spans="1:1" x14ac:dyDescent="0.35">
      <c r="A237" s="5">
        <v>234</v>
      </c>
    </row>
    <row r="238" spans="1:1" x14ac:dyDescent="0.35">
      <c r="A238" s="5">
        <v>235</v>
      </c>
    </row>
    <row r="239" spans="1:1" x14ac:dyDescent="0.35">
      <c r="A239" s="5">
        <v>236</v>
      </c>
    </row>
    <row r="240" spans="1:1" x14ac:dyDescent="0.35">
      <c r="A240" s="5">
        <v>237</v>
      </c>
    </row>
    <row r="241" spans="1:1" x14ac:dyDescent="0.35">
      <c r="A241" s="5">
        <v>238</v>
      </c>
    </row>
    <row r="242" spans="1:1" x14ac:dyDescent="0.35">
      <c r="A242" s="5">
        <v>239</v>
      </c>
    </row>
    <row r="243" spans="1:1" x14ac:dyDescent="0.35">
      <c r="A243" s="5">
        <v>240</v>
      </c>
    </row>
    <row r="244" spans="1:1" x14ac:dyDescent="0.35">
      <c r="A244" s="5">
        <v>241</v>
      </c>
    </row>
    <row r="245" spans="1:1" x14ac:dyDescent="0.35">
      <c r="A245" s="5">
        <v>242</v>
      </c>
    </row>
    <row r="246" spans="1:1" x14ac:dyDescent="0.35">
      <c r="A246" s="5">
        <v>243</v>
      </c>
    </row>
    <row r="247" spans="1:1" x14ac:dyDescent="0.35">
      <c r="A247" s="5">
        <v>244</v>
      </c>
    </row>
    <row r="248" spans="1:1" x14ac:dyDescent="0.35">
      <c r="A248" s="5">
        <v>245</v>
      </c>
    </row>
    <row r="249" spans="1:1" x14ac:dyDescent="0.35">
      <c r="A249" s="5">
        <v>246</v>
      </c>
    </row>
    <row r="250" spans="1:1" x14ac:dyDescent="0.35">
      <c r="A250" s="5">
        <v>247</v>
      </c>
    </row>
    <row r="251" spans="1:1" x14ac:dyDescent="0.35">
      <c r="A251" s="5">
        <v>248</v>
      </c>
    </row>
    <row r="252" spans="1:1" x14ac:dyDescent="0.35">
      <c r="A252" s="5">
        <v>249</v>
      </c>
    </row>
    <row r="253" spans="1:1" x14ac:dyDescent="0.35">
      <c r="A253" s="5">
        <v>250</v>
      </c>
    </row>
    <row r="254" spans="1:1" x14ac:dyDescent="0.35">
      <c r="A254" s="5">
        <v>251</v>
      </c>
    </row>
    <row r="255" spans="1:1" x14ac:dyDescent="0.35">
      <c r="A255" s="5">
        <v>252</v>
      </c>
    </row>
    <row r="256" spans="1:1" x14ac:dyDescent="0.35">
      <c r="A256" s="5">
        <v>253</v>
      </c>
    </row>
    <row r="257" spans="1:1" x14ac:dyDescent="0.35">
      <c r="A257" s="5">
        <v>254</v>
      </c>
    </row>
    <row r="258" spans="1:1" x14ac:dyDescent="0.35">
      <c r="A258" s="5">
        <v>255</v>
      </c>
    </row>
    <row r="259" spans="1:1" x14ac:dyDescent="0.35">
      <c r="A259" s="5">
        <v>256</v>
      </c>
    </row>
    <row r="260" spans="1:1" x14ac:dyDescent="0.35">
      <c r="A260" s="5">
        <v>257</v>
      </c>
    </row>
    <row r="261" spans="1:1" x14ac:dyDescent="0.35">
      <c r="A261" s="5">
        <v>258</v>
      </c>
    </row>
    <row r="262" spans="1:1" x14ac:dyDescent="0.35">
      <c r="A262" s="5">
        <v>259</v>
      </c>
    </row>
    <row r="263" spans="1:1" x14ac:dyDescent="0.35">
      <c r="A263" s="5">
        <v>260</v>
      </c>
    </row>
    <row r="264" spans="1:1" x14ac:dyDescent="0.35">
      <c r="A264" s="5">
        <v>261</v>
      </c>
    </row>
    <row r="265" spans="1:1" x14ac:dyDescent="0.35">
      <c r="A265" s="5">
        <v>262</v>
      </c>
    </row>
    <row r="266" spans="1:1" x14ac:dyDescent="0.35">
      <c r="A266" s="5">
        <v>263</v>
      </c>
    </row>
    <row r="267" spans="1:1" x14ac:dyDescent="0.35">
      <c r="A267" s="5">
        <v>264</v>
      </c>
    </row>
    <row r="268" spans="1:1" x14ac:dyDescent="0.35">
      <c r="A268" s="5">
        <v>265</v>
      </c>
    </row>
    <row r="269" spans="1:1" x14ac:dyDescent="0.35">
      <c r="A269" s="5">
        <v>266</v>
      </c>
    </row>
    <row r="270" spans="1:1" x14ac:dyDescent="0.35">
      <c r="A270" s="5">
        <v>267</v>
      </c>
    </row>
    <row r="271" spans="1:1" x14ac:dyDescent="0.35">
      <c r="A271" s="5">
        <v>268</v>
      </c>
    </row>
    <row r="272" spans="1:1" x14ac:dyDescent="0.35">
      <c r="A272" s="5">
        <v>269</v>
      </c>
    </row>
    <row r="273" spans="1:1" x14ac:dyDescent="0.35">
      <c r="A273" s="5">
        <v>270</v>
      </c>
    </row>
    <row r="274" spans="1:1" x14ac:dyDescent="0.35">
      <c r="A274" s="5">
        <v>271</v>
      </c>
    </row>
    <row r="275" spans="1:1" x14ac:dyDescent="0.35">
      <c r="A275" s="5">
        <v>272</v>
      </c>
    </row>
    <row r="276" spans="1:1" x14ac:dyDescent="0.35">
      <c r="A276" s="5">
        <v>273</v>
      </c>
    </row>
    <row r="277" spans="1:1" x14ac:dyDescent="0.35">
      <c r="A277" s="5">
        <v>274</v>
      </c>
    </row>
    <row r="278" spans="1:1" x14ac:dyDescent="0.35">
      <c r="A278" s="5">
        <v>275</v>
      </c>
    </row>
    <row r="279" spans="1:1" x14ac:dyDescent="0.35">
      <c r="A279" s="5">
        <v>276</v>
      </c>
    </row>
    <row r="280" spans="1:1" x14ac:dyDescent="0.35">
      <c r="A280" s="5">
        <v>277</v>
      </c>
    </row>
    <row r="281" spans="1:1" x14ac:dyDescent="0.35">
      <c r="A281" s="5">
        <v>278</v>
      </c>
    </row>
    <row r="282" spans="1:1" x14ac:dyDescent="0.35">
      <c r="A282" s="5">
        <v>279</v>
      </c>
    </row>
    <row r="283" spans="1:1" x14ac:dyDescent="0.35">
      <c r="A283" s="5">
        <v>280</v>
      </c>
    </row>
    <row r="284" spans="1:1" x14ac:dyDescent="0.35">
      <c r="A284" s="5">
        <v>281</v>
      </c>
    </row>
    <row r="285" spans="1:1" x14ac:dyDescent="0.35">
      <c r="A285" s="5">
        <v>282</v>
      </c>
    </row>
    <row r="286" spans="1:1" x14ac:dyDescent="0.35">
      <c r="A286" s="5">
        <v>283</v>
      </c>
    </row>
    <row r="287" spans="1:1" x14ac:dyDescent="0.35">
      <c r="A287" s="5">
        <v>284</v>
      </c>
    </row>
    <row r="288" spans="1:1" x14ac:dyDescent="0.35">
      <c r="A288" s="5">
        <v>285</v>
      </c>
    </row>
    <row r="289" spans="1:1" x14ac:dyDescent="0.35">
      <c r="A289" s="5">
        <v>286</v>
      </c>
    </row>
    <row r="290" spans="1:1" x14ac:dyDescent="0.35">
      <c r="A290" s="5">
        <v>287</v>
      </c>
    </row>
    <row r="291" spans="1:1" x14ac:dyDescent="0.35">
      <c r="A291" s="5">
        <v>288</v>
      </c>
    </row>
    <row r="292" spans="1:1" x14ac:dyDescent="0.35">
      <c r="A292" s="5">
        <v>289</v>
      </c>
    </row>
    <row r="293" spans="1:1" x14ac:dyDescent="0.35">
      <c r="A293" s="5">
        <v>290</v>
      </c>
    </row>
    <row r="294" spans="1:1" x14ac:dyDescent="0.35">
      <c r="A294" s="5">
        <v>291</v>
      </c>
    </row>
    <row r="295" spans="1:1" x14ac:dyDescent="0.35">
      <c r="A295" s="5">
        <v>292</v>
      </c>
    </row>
    <row r="296" spans="1:1" x14ac:dyDescent="0.35">
      <c r="A296" s="5">
        <v>293</v>
      </c>
    </row>
    <row r="297" spans="1:1" x14ac:dyDescent="0.35">
      <c r="A297" s="5">
        <v>294</v>
      </c>
    </row>
    <row r="298" spans="1:1" x14ac:dyDescent="0.35">
      <c r="A298" s="5">
        <v>295</v>
      </c>
    </row>
    <row r="299" spans="1:1" x14ac:dyDescent="0.35">
      <c r="A299" s="5">
        <v>296</v>
      </c>
    </row>
    <row r="300" spans="1:1" x14ac:dyDescent="0.35">
      <c r="A300" s="5">
        <v>297</v>
      </c>
    </row>
    <row r="301" spans="1:1" x14ac:dyDescent="0.35">
      <c r="A301" s="5">
        <v>298</v>
      </c>
    </row>
    <row r="302" spans="1:1" x14ac:dyDescent="0.35">
      <c r="A302" s="5">
        <v>299</v>
      </c>
    </row>
    <row r="303" spans="1:1" x14ac:dyDescent="0.35">
      <c r="A303" s="5">
        <v>300</v>
      </c>
    </row>
    <row r="304" spans="1:1" x14ac:dyDescent="0.35">
      <c r="A304" s="5">
        <v>301</v>
      </c>
    </row>
    <row r="305" spans="1:1" x14ac:dyDescent="0.35">
      <c r="A305" s="5">
        <v>302</v>
      </c>
    </row>
    <row r="306" spans="1:1" x14ac:dyDescent="0.35">
      <c r="A306" s="5">
        <v>303</v>
      </c>
    </row>
    <row r="307" spans="1:1" x14ac:dyDescent="0.35">
      <c r="A307" s="5">
        <v>304</v>
      </c>
    </row>
    <row r="308" spans="1:1" x14ac:dyDescent="0.35">
      <c r="A308" s="5">
        <v>305</v>
      </c>
    </row>
    <row r="309" spans="1:1" x14ac:dyDescent="0.35">
      <c r="A309" s="5">
        <v>306</v>
      </c>
    </row>
    <row r="310" spans="1:1" x14ac:dyDescent="0.35">
      <c r="A310" s="5">
        <v>307</v>
      </c>
    </row>
    <row r="311" spans="1:1" x14ac:dyDescent="0.35">
      <c r="A311" s="5">
        <v>308</v>
      </c>
    </row>
    <row r="312" spans="1:1" x14ac:dyDescent="0.35">
      <c r="A312" s="5">
        <v>309</v>
      </c>
    </row>
    <row r="313" spans="1:1" x14ac:dyDescent="0.35">
      <c r="A313" s="5">
        <v>310</v>
      </c>
    </row>
    <row r="314" spans="1:1" x14ac:dyDescent="0.35">
      <c r="A314" s="5">
        <v>311</v>
      </c>
    </row>
    <row r="315" spans="1:1" x14ac:dyDescent="0.35">
      <c r="A315" s="5">
        <v>312</v>
      </c>
    </row>
    <row r="316" spans="1:1" x14ac:dyDescent="0.35">
      <c r="A316" s="5">
        <v>313</v>
      </c>
    </row>
    <row r="317" spans="1:1" x14ac:dyDescent="0.35">
      <c r="A317" s="5">
        <v>314</v>
      </c>
    </row>
    <row r="318" spans="1:1" x14ac:dyDescent="0.35">
      <c r="A318" s="5">
        <v>315</v>
      </c>
    </row>
    <row r="319" spans="1:1" x14ac:dyDescent="0.35">
      <c r="A319" s="5">
        <v>316</v>
      </c>
    </row>
    <row r="320" spans="1:1" x14ac:dyDescent="0.35">
      <c r="A320" s="5">
        <v>317</v>
      </c>
    </row>
    <row r="321" spans="1:1" x14ac:dyDescent="0.35">
      <c r="A321" s="5">
        <v>318</v>
      </c>
    </row>
    <row r="322" spans="1:1" x14ac:dyDescent="0.35">
      <c r="A322" s="5">
        <v>319</v>
      </c>
    </row>
    <row r="323" spans="1:1" x14ac:dyDescent="0.35">
      <c r="A323" s="5">
        <v>320</v>
      </c>
    </row>
    <row r="324" spans="1:1" x14ac:dyDescent="0.35">
      <c r="A324" s="5">
        <v>321</v>
      </c>
    </row>
    <row r="325" spans="1:1" x14ac:dyDescent="0.35">
      <c r="A325" s="5">
        <v>322</v>
      </c>
    </row>
    <row r="326" spans="1:1" x14ac:dyDescent="0.35">
      <c r="A326" s="5">
        <v>323</v>
      </c>
    </row>
    <row r="327" spans="1:1" x14ac:dyDescent="0.35">
      <c r="A327" s="5">
        <v>324</v>
      </c>
    </row>
    <row r="328" spans="1:1" x14ac:dyDescent="0.35">
      <c r="A328" s="5">
        <v>325</v>
      </c>
    </row>
    <row r="329" spans="1:1" x14ac:dyDescent="0.35">
      <c r="A329" s="5">
        <v>326</v>
      </c>
    </row>
    <row r="330" spans="1:1" x14ac:dyDescent="0.35">
      <c r="A330" s="5">
        <v>327</v>
      </c>
    </row>
    <row r="331" spans="1:1" x14ac:dyDescent="0.35">
      <c r="A331" s="5">
        <v>328</v>
      </c>
    </row>
    <row r="332" spans="1:1" x14ac:dyDescent="0.35">
      <c r="A332" s="5">
        <v>329</v>
      </c>
    </row>
    <row r="333" spans="1:1" x14ac:dyDescent="0.35">
      <c r="A333" s="5">
        <v>330</v>
      </c>
    </row>
    <row r="334" spans="1:1" x14ac:dyDescent="0.35">
      <c r="A334" s="5">
        <v>331</v>
      </c>
    </row>
    <row r="335" spans="1:1" x14ac:dyDescent="0.35">
      <c r="A335" s="5">
        <v>332</v>
      </c>
    </row>
    <row r="336" spans="1:1" x14ac:dyDescent="0.35">
      <c r="A336" s="5">
        <v>333</v>
      </c>
    </row>
    <row r="337" spans="1:1" x14ac:dyDescent="0.35">
      <c r="A337" s="5">
        <v>334</v>
      </c>
    </row>
    <row r="338" spans="1:1" x14ac:dyDescent="0.35">
      <c r="A338" s="5">
        <v>335</v>
      </c>
    </row>
    <row r="339" spans="1:1" x14ac:dyDescent="0.35">
      <c r="A339" s="5">
        <v>336</v>
      </c>
    </row>
    <row r="340" spans="1:1" x14ac:dyDescent="0.35">
      <c r="A340" s="5">
        <v>337</v>
      </c>
    </row>
    <row r="341" spans="1:1" x14ac:dyDescent="0.35">
      <c r="A341" s="5">
        <v>338</v>
      </c>
    </row>
    <row r="342" spans="1:1" x14ac:dyDescent="0.35">
      <c r="A342" s="5">
        <v>339</v>
      </c>
    </row>
    <row r="343" spans="1:1" x14ac:dyDescent="0.35">
      <c r="A343" s="5">
        <v>340</v>
      </c>
    </row>
    <row r="344" spans="1:1" x14ac:dyDescent="0.35">
      <c r="A344" s="5">
        <v>341</v>
      </c>
    </row>
    <row r="345" spans="1:1" x14ac:dyDescent="0.35">
      <c r="A345" s="5">
        <v>342</v>
      </c>
    </row>
    <row r="346" spans="1:1" x14ac:dyDescent="0.35">
      <c r="A346" s="5">
        <v>343</v>
      </c>
    </row>
    <row r="347" spans="1:1" x14ac:dyDescent="0.35">
      <c r="A347" s="5">
        <v>344</v>
      </c>
    </row>
    <row r="348" spans="1:1" x14ac:dyDescent="0.35">
      <c r="A348" s="5">
        <v>345</v>
      </c>
    </row>
    <row r="349" spans="1:1" x14ac:dyDescent="0.35">
      <c r="A349" s="5">
        <v>346</v>
      </c>
    </row>
    <row r="350" spans="1:1" x14ac:dyDescent="0.35">
      <c r="A350" s="5">
        <v>347</v>
      </c>
    </row>
    <row r="351" spans="1:1" x14ac:dyDescent="0.35">
      <c r="A351" s="5">
        <v>348</v>
      </c>
    </row>
    <row r="352" spans="1:1" x14ac:dyDescent="0.35">
      <c r="A352" s="5">
        <v>349</v>
      </c>
    </row>
    <row r="353" spans="1:1" x14ac:dyDescent="0.35">
      <c r="A353" s="5">
        <v>350</v>
      </c>
    </row>
    <row r="354" spans="1:1" x14ac:dyDescent="0.35">
      <c r="A354" s="5">
        <v>351</v>
      </c>
    </row>
    <row r="355" spans="1:1" x14ac:dyDescent="0.35">
      <c r="A355" s="5">
        <v>352</v>
      </c>
    </row>
    <row r="356" spans="1:1" x14ac:dyDescent="0.35">
      <c r="A356" s="5">
        <v>353</v>
      </c>
    </row>
    <row r="357" spans="1:1" x14ac:dyDescent="0.35">
      <c r="A357" s="5">
        <v>354</v>
      </c>
    </row>
    <row r="358" spans="1:1" x14ac:dyDescent="0.35">
      <c r="A358" s="5">
        <v>355</v>
      </c>
    </row>
    <row r="359" spans="1:1" x14ac:dyDescent="0.35">
      <c r="A359" s="5">
        <v>356</v>
      </c>
    </row>
    <row r="360" spans="1:1" x14ac:dyDescent="0.35">
      <c r="A360" s="5">
        <v>357</v>
      </c>
    </row>
    <row r="361" spans="1:1" x14ac:dyDescent="0.35">
      <c r="A361" s="5">
        <v>358</v>
      </c>
    </row>
    <row r="362" spans="1:1" x14ac:dyDescent="0.35">
      <c r="A362" s="5">
        <v>359</v>
      </c>
    </row>
    <row r="363" spans="1:1" x14ac:dyDescent="0.35">
      <c r="A363" s="5">
        <v>360</v>
      </c>
    </row>
    <row r="364" spans="1:1" x14ac:dyDescent="0.35">
      <c r="A364" s="5">
        <v>361</v>
      </c>
    </row>
    <row r="365" spans="1:1" x14ac:dyDescent="0.35">
      <c r="A365" s="5">
        <v>362</v>
      </c>
    </row>
    <row r="366" spans="1:1" x14ac:dyDescent="0.35">
      <c r="A366" s="5">
        <v>363</v>
      </c>
    </row>
    <row r="367" spans="1:1" x14ac:dyDescent="0.35">
      <c r="A367" s="5">
        <v>364</v>
      </c>
    </row>
    <row r="368" spans="1:1" x14ac:dyDescent="0.35">
      <c r="A368" s="5">
        <v>365</v>
      </c>
    </row>
    <row r="369" spans="1:1" x14ac:dyDescent="0.35">
      <c r="A369" s="5">
        <v>366</v>
      </c>
    </row>
    <row r="370" spans="1:1" x14ac:dyDescent="0.35">
      <c r="A370" s="5">
        <v>367</v>
      </c>
    </row>
    <row r="371" spans="1:1" x14ac:dyDescent="0.35">
      <c r="A371" s="5">
        <v>368</v>
      </c>
    </row>
    <row r="372" spans="1:1" x14ac:dyDescent="0.35">
      <c r="A372" s="5">
        <v>369</v>
      </c>
    </row>
    <row r="373" spans="1:1" x14ac:dyDescent="0.35">
      <c r="A373" s="5">
        <v>370</v>
      </c>
    </row>
    <row r="374" spans="1:1" x14ac:dyDescent="0.35">
      <c r="A374" s="5">
        <v>371</v>
      </c>
    </row>
    <row r="375" spans="1:1" x14ac:dyDescent="0.35">
      <c r="A375" s="5">
        <v>372</v>
      </c>
    </row>
    <row r="376" spans="1:1" x14ac:dyDescent="0.35">
      <c r="A376" s="5">
        <v>373</v>
      </c>
    </row>
    <row r="377" spans="1:1" x14ac:dyDescent="0.35">
      <c r="A377" s="5">
        <v>374</v>
      </c>
    </row>
    <row r="378" spans="1:1" x14ac:dyDescent="0.35">
      <c r="A378" s="5">
        <v>375</v>
      </c>
    </row>
    <row r="379" spans="1:1" x14ac:dyDescent="0.35">
      <c r="A379" s="5">
        <v>376</v>
      </c>
    </row>
    <row r="380" spans="1:1" x14ac:dyDescent="0.35">
      <c r="A380" s="5">
        <v>377</v>
      </c>
    </row>
    <row r="381" spans="1:1" x14ac:dyDescent="0.35">
      <c r="A381" s="5">
        <v>378</v>
      </c>
    </row>
    <row r="382" spans="1:1" x14ac:dyDescent="0.35">
      <c r="A382" s="5">
        <v>379</v>
      </c>
    </row>
    <row r="383" spans="1:1" x14ac:dyDescent="0.35">
      <c r="A383" s="5">
        <v>380</v>
      </c>
    </row>
    <row r="384" spans="1:1" x14ac:dyDescent="0.35">
      <c r="A384" s="5">
        <v>381</v>
      </c>
    </row>
    <row r="385" spans="1:1" x14ac:dyDescent="0.35">
      <c r="A385" s="5">
        <v>382</v>
      </c>
    </row>
    <row r="386" spans="1:1" x14ac:dyDescent="0.35">
      <c r="A386" s="5">
        <v>383</v>
      </c>
    </row>
    <row r="387" spans="1:1" x14ac:dyDescent="0.35">
      <c r="A387" s="5">
        <v>384</v>
      </c>
    </row>
    <row r="388" spans="1:1" x14ac:dyDescent="0.35">
      <c r="A388" s="5">
        <v>385</v>
      </c>
    </row>
    <row r="389" spans="1:1" x14ac:dyDescent="0.35">
      <c r="A389" s="5">
        <v>386</v>
      </c>
    </row>
    <row r="390" spans="1:1" x14ac:dyDescent="0.35">
      <c r="A390" s="5">
        <v>387</v>
      </c>
    </row>
    <row r="391" spans="1:1" x14ac:dyDescent="0.35">
      <c r="A391" s="5">
        <v>388</v>
      </c>
    </row>
    <row r="392" spans="1:1" x14ac:dyDescent="0.35">
      <c r="A392" s="5">
        <v>389</v>
      </c>
    </row>
    <row r="393" spans="1:1" x14ac:dyDescent="0.35">
      <c r="A393" s="5">
        <v>390</v>
      </c>
    </row>
    <row r="394" spans="1:1" x14ac:dyDescent="0.35">
      <c r="A394" s="5">
        <v>391</v>
      </c>
    </row>
    <row r="395" spans="1:1" x14ac:dyDescent="0.35">
      <c r="A395" s="5">
        <v>392</v>
      </c>
    </row>
    <row r="396" spans="1:1" x14ac:dyDescent="0.35">
      <c r="A396" s="5">
        <v>393</v>
      </c>
    </row>
    <row r="397" spans="1:1" x14ac:dyDescent="0.35">
      <c r="A397" s="5">
        <v>394</v>
      </c>
    </row>
    <row r="398" spans="1:1" x14ac:dyDescent="0.35">
      <c r="A398" s="5">
        <v>395</v>
      </c>
    </row>
    <row r="399" spans="1:1" x14ac:dyDescent="0.35">
      <c r="A399" s="5">
        <v>396</v>
      </c>
    </row>
    <row r="400" spans="1:1" x14ac:dyDescent="0.35">
      <c r="A400" s="5">
        <v>397</v>
      </c>
    </row>
    <row r="401" spans="1:1" x14ac:dyDescent="0.35">
      <c r="A401" s="5">
        <v>398</v>
      </c>
    </row>
    <row r="402" spans="1:1" x14ac:dyDescent="0.35">
      <c r="A402" s="5">
        <v>399</v>
      </c>
    </row>
    <row r="403" spans="1:1" x14ac:dyDescent="0.35">
      <c r="A403" s="5">
        <v>400</v>
      </c>
    </row>
    <row r="404" spans="1:1" x14ac:dyDescent="0.35">
      <c r="A404" s="5">
        <v>401</v>
      </c>
    </row>
    <row r="405" spans="1:1" x14ac:dyDescent="0.35">
      <c r="A405" s="5">
        <v>402</v>
      </c>
    </row>
    <row r="406" spans="1:1" x14ac:dyDescent="0.35">
      <c r="A406" s="5">
        <v>403</v>
      </c>
    </row>
    <row r="407" spans="1:1" x14ac:dyDescent="0.35">
      <c r="A407" s="5">
        <v>404</v>
      </c>
    </row>
    <row r="408" spans="1:1" x14ac:dyDescent="0.35">
      <c r="A408" s="5">
        <v>405</v>
      </c>
    </row>
    <row r="409" spans="1:1" x14ac:dyDescent="0.35">
      <c r="A409" s="5">
        <v>406</v>
      </c>
    </row>
    <row r="410" spans="1:1" x14ac:dyDescent="0.35">
      <c r="A410" s="5">
        <v>407</v>
      </c>
    </row>
    <row r="411" spans="1:1" x14ac:dyDescent="0.35">
      <c r="A411" s="5">
        <v>408</v>
      </c>
    </row>
    <row r="412" spans="1:1" x14ac:dyDescent="0.35">
      <c r="A412" s="5">
        <v>409</v>
      </c>
    </row>
    <row r="413" spans="1:1" x14ac:dyDescent="0.35">
      <c r="A413" s="5">
        <v>410</v>
      </c>
    </row>
    <row r="414" spans="1:1" x14ac:dyDescent="0.35">
      <c r="A414" s="5">
        <v>411</v>
      </c>
    </row>
    <row r="415" spans="1:1" x14ac:dyDescent="0.35">
      <c r="A415" s="5">
        <v>412</v>
      </c>
    </row>
    <row r="416" spans="1:1" x14ac:dyDescent="0.35">
      <c r="A416" s="5">
        <v>413</v>
      </c>
    </row>
    <row r="417" spans="1:1" x14ac:dyDescent="0.35">
      <c r="A417" s="5">
        <v>414</v>
      </c>
    </row>
    <row r="418" spans="1:1" x14ac:dyDescent="0.35">
      <c r="A418" s="5">
        <v>415</v>
      </c>
    </row>
    <row r="419" spans="1:1" x14ac:dyDescent="0.35">
      <c r="A419" s="5">
        <v>416</v>
      </c>
    </row>
    <row r="420" spans="1:1" x14ac:dyDescent="0.35">
      <c r="A420" s="5">
        <v>417</v>
      </c>
    </row>
    <row r="421" spans="1:1" x14ac:dyDescent="0.35">
      <c r="A421" s="5">
        <v>418</v>
      </c>
    </row>
    <row r="422" spans="1:1" x14ac:dyDescent="0.35">
      <c r="A422" s="5">
        <v>419</v>
      </c>
    </row>
    <row r="423" spans="1:1" x14ac:dyDescent="0.35">
      <c r="A423" s="5">
        <v>420</v>
      </c>
    </row>
    <row r="424" spans="1:1" x14ac:dyDescent="0.35">
      <c r="A424" s="5">
        <v>421</v>
      </c>
    </row>
    <row r="425" spans="1:1" x14ac:dyDescent="0.35">
      <c r="A425" s="5">
        <v>422</v>
      </c>
    </row>
    <row r="426" spans="1:1" x14ac:dyDescent="0.35">
      <c r="A426" s="5">
        <v>423</v>
      </c>
    </row>
    <row r="427" spans="1:1" x14ac:dyDescent="0.35">
      <c r="A427" s="5">
        <v>424</v>
      </c>
    </row>
    <row r="428" spans="1:1" x14ac:dyDescent="0.35">
      <c r="A428" s="5">
        <v>425</v>
      </c>
    </row>
    <row r="429" spans="1:1" x14ac:dyDescent="0.35">
      <c r="A429" s="5">
        <v>426</v>
      </c>
    </row>
    <row r="430" spans="1:1" x14ac:dyDescent="0.35">
      <c r="A430" s="5">
        <v>427</v>
      </c>
    </row>
    <row r="431" spans="1:1" x14ac:dyDescent="0.35">
      <c r="A431" s="5">
        <v>428</v>
      </c>
    </row>
    <row r="432" spans="1:1" x14ac:dyDescent="0.35">
      <c r="A432" s="5">
        <v>429</v>
      </c>
    </row>
    <row r="433" spans="1:1" x14ac:dyDescent="0.35">
      <c r="A433" s="5">
        <v>430</v>
      </c>
    </row>
    <row r="434" spans="1:1" x14ac:dyDescent="0.35">
      <c r="A434" s="5">
        <v>431</v>
      </c>
    </row>
    <row r="435" spans="1:1" x14ac:dyDescent="0.35">
      <c r="A435" s="5">
        <v>432</v>
      </c>
    </row>
    <row r="436" spans="1:1" x14ac:dyDescent="0.35">
      <c r="A436" s="5">
        <v>433</v>
      </c>
    </row>
    <row r="437" spans="1:1" x14ac:dyDescent="0.35">
      <c r="A437" s="5">
        <v>434</v>
      </c>
    </row>
    <row r="438" spans="1:1" x14ac:dyDescent="0.35">
      <c r="A438" s="5">
        <v>435</v>
      </c>
    </row>
    <row r="439" spans="1:1" x14ac:dyDescent="0.35">
      <c r="A439" s="5">
        <v>436</v>
      </c>
    </row>
    <row r="440" spans="1:1" x14ac:dyDescent="0.35">
      <c r="A440" s="5">
        <v>437</v>
      </c>
    </row>
    <row r="441" spans="1:1" x14ac:dyDescent="0.35">
      <c r="A441" s="5">
        <v>438</v>
      </c>
    </row>
    <row r="442" spans="1:1" x14ac:dyDescent="0.35">
      <c r="A442" s="5">
        <v>439</v>
      </c>
    </row>
    <row r="443" spans="1:1" x14ac:dyDescent="0.35">
      <c r="A443" s="5">
        <v>440</v>
      </c>
    </row>
    <row r="444" spans="1:1" x14ac:dyDescent="0.35">
      <c r="A444" s="5">
        <v>441</v>
      </c>
    </row>
    <row r="445" spans="1:1" x14ac:dyDescent="0.35">
      <c r="A445" s="5">
        <v>442</v>
      </c>
    </row>
    <row r="446" spans="1:1" x14ac:dyDescent="0.35">
      <c r="A446" s="5">
        <v>443</v>
      </c>
    </row>
    <row r="447" spans="1:1" x14ac:dyDescent="0.35">
      <c r="A447" s="5">
        <v>444</v>
      </c>
    </row>
    <row r="448" spans="1:1" x14ac:dyDescent="0.35">
      <c r="A448" s="5">
        <v>445</v>
      </c>
    </row>
    <row r="449" spans="1:1" x14ac:dyDescent="0.35">
      <c r="A449" s="5">
        <v>446</v>
      </c>
    </row>
    <row r="450" spans="1:1" x14ac:dyDescent="0.35">
      <c r="A450" s="5">
        <v>447</v>
      </c>
    </row>
    <row r="451" spans="1:1" x14ac:dyDescent="0.35">
      <c r="A451" s="5">
        <v>448</v>
      </c>
    </row>
    <row r="452" spans="1:1" x14ac:dyDescent="0.35">
      <c r="A452" s="5">
        <v>449</v>
      </c>
    </row>
    <row r="453" spans="1:1" x14ac:dyDescent="0.35">
      <c r="A453" s="5">
        <v>450</v>
      </c>
    </row>
    <row r="454" spans="1:1" x14ac:dyDescent="0.35">
      <c r="A454" s="5">
        <v>451</v>
      </c>
    </row>
    <row r="455" spans="1:1" x14ac:dyDescent="0.35">
      <c r="A455" s="5">
        <v>452</v>
      </c>
    </row>
    <row r="456" spans="1:1" x14ac:dyDescent="0.35">
      <c r="A456" s="5">
        <v>453</v>
      </c>
    </row>
    <row r="457" spans="1:1" x14ac:dyDescent="0.35">
      <c r="A457" s="5">
        <v>454</v>
      </c>
    </row>
    <row r="458" spans="1:1" x14ac:dyDescent="0.35">
      <c r="A458" s="5">
        <v>455</v>
      </c>
    </row>
    <row r="459" spans="1:1" x14ac:dyDescent="0.35">
      <c r="A459" s="5">
        <v>456</v>
      </c>
    </row>
    <row r="460" spans="1:1" x14ac:dyDescent="0.35">
      <c r="A460" s="5">
        <v>457</v>
      </c>
    </row>
    <row r="461" spans="1:1" x14ac:dyDescent="0.35">
      <c r="A461" s="5">
        <v>458</v>
      </c>
    </row>
    <row r="462" spans="1:1" x14ac:dyDescent="0.35">
      <c r="A462" s="5">
        <v>459</v>
      </c>
    </row>
    <row r="463" spans="1:1" x14ac:dyDescent="0.35">
      <c r="A463" s="5">
        <v>460</v>
      </c>
    </row>
    <row r="464" spans="1:1" x14ac:dyDescent="0.35">
      <c r="A464" s="5">
        <v>461</v>
      </c>
    </row>
    <row r="465" spans="1:1" x14ac:dyDescent="0.35">
      <c r="A465" s="5">
        <v>462</v>
      </c>
    </row>
    <row r="466" spans="1:1" x14ac:dyDescent="0.35">
      <c r="A466" s="5">
        <v>463</v>
      </c>
    </row>
    <row r="467" spans="1:1" x14ac:dyDescent="0.35">
      <c r="A467" s="5">
        <v>464</v>
      </c>
    </row>
    <row r="468" spans="1:1" x14ac:dyDescent="0.35">
      <c r="A468" s="5">
        <v>465</v>
      </c>
    </row>
    <row r="469" spans="1:1" x14ac:dyDescent="0.35">
      <c r="A469" s="5">
        <v>466</v>
      </c>
    </row>
    <row r="470" spans="1:1" x14ac:dyDescent="0.35">
      <c r="A470" s="5">
        <v>467</v>
      </c>
    </row>
    <row r="471" spans="1:1" x14ac:dyDescent="0.35">
      <c r="A471" s="5">
        <v>468</v>
      </c>
    </row>
    <row r="472" spans="1:1" x14ac:dyDescent="0.35">
      <c r="A472" s="5">
        <v>469</v>
      </c>
    </row>
    <row r="473" spans="1:1" x14ac:dyDescent="0.35">
      <c r="A473" s="5">
        <v>470</v>
      </c>
    </row>
    <row r="474" spans="1:1" x14ac:dyDescent="0.35">
      <c r="A474" s="5">
        <v>471</v>
      </c>
    </row>
    <row r="475" spans="1:1" x14ac:dyDescent="0.35">
      <c r="A475" s="5">
        <v>472</v>
      </c>
    </row>
    <row r="476" spans="1:1" x14ac:dyDescent="0.35">
      <c r="A476" s="5">
        <v>473</v>
      </c>
    </row>
    <row r="477" spans="1:1" x14ac:dyDescent="0.35">
      <c r="A477" s="5">
        <v>474</v>
      </c>
    </row>
    <row r="478" spans="1:1" x14ac:dyDescent="0.35">
      <c r="A478" s="5">
        <v>475</v>
      </c>
    </row>
    <row r="479" spans="1:1" x14ac:dyDescent="0.35">
      <c r="A479" s="5">
        <v>476</v>
      </c>
    </row>
    <row r="480" spans="1:1" x14ac:dyDescent="0.35">
      <c r="A480" s="5">
        <v>477</v>
      </c>
    </row>
    <row r="481" spans="1:1" x14ac:dyDescent="0.35">
      <c r="A481" s="5">
        <v>478</v>
      </c>
    </row>
    <row r="482" spans="1:1" x14ac:dyDescent="0.35">
      <c r="A482" s="5">
        <v>479</v>
      </c>
    </row>
    <row r="483" spans="1:1" x14ac:dyDescent="0.35">
      <c r="A483" s="5">
        <v>480</v>
      </c>
    </row>
    <row r="484" spans="1:1" x14ac:dyDescent="0.35">
      <c r="A484" s="5">
        <v>481</v>
      </c>
    </row>
    <row r="485" spans="1:1" x14ac:dyDescent="0.35">
      <c r="A485" s="5">
        <v>482</v>
      </c>
    </row>
    <row r="486" spans="1:1" x14ac:dyDescent="0.35">
      <c r="A486" s="5">
        <v>483</v>
      </c>
    </row>
    <row r="487" spans="1:1" x14ac:dyDescent="0.35">
      <c r="A487" s="5">
        <v>484</v>
      </c>
    </row>
    <row r="488" spans="1:1" x14ac:dyDescent="0.35">
      <c r="A488" s="5">
        <v>485</v>
      </c>
    </row>
    <row r="489" spans="1:1" x14ac:dyDescent="0.35">
      <c r="A489" s="5">
        <v>486</v>
      </c>
    </row>
    <row r="490" spans="1:1" x14ac:dyDescent="0.35">
      <c r="A490" s="5">
        <v>487</v>
      </c>
    </row>
    <row r="491" spans="1:1" x14ac:dyDescent="0.35">
      <c r="A491" s="5">
        <v>488</v>
      </c>
    </row>
    <row r="492" spans="1:1" x14ac:dyDescent="0.35">
      <c r="A492" s="5">
        <v>489</v>
      </c>
    </row>
    <row r="493" spans="1:1" x14ac:dyDescent="0.35">
      <c r="A493" s="5">
        <v>490</v>
      </c>
    </row>
    <row r="494" spans="1:1" x14ac:dyDescent="0.35">
      <c r="A494" s="5">
        <v>491</v>
      </c>
    </row>
    <row r="495" spans="1:1" x14ac:dyDescent="0.35">
      <c r="A495" s="5">
        <v>492</v>
      </c>
    </row>
    <row r="496" spans="1:1" x14ac:dyDescent="0.35">
      <c r="A496" s="5">
        <v>493</v>
      </c>
    </row>
    <row r="497" spans="1:1" x14ac:dyDescent="0.35">
      <c r="A497" s="5">
        <v>494</v>
      </c>
    </row>
    <row r="498" spans="1:1" x14ac:dyDescent="0.35">
      <c r="A498" s="5">
        <v>495</v>
      </c>
    </row>
    <row r="499" spans="1:1" x14ac:dyDescent="0.35">
      <c r="A499" s="5">
        <v>496</v>
      </c>
    </row>
    <row r="500" spans="1:1" x14ac:dyDescent="0.35">
      <c r="A500" s="5">
        <v>497</v>
      </c>
    </row>
    <row r="501" spans="1:1" x14ac:dyDescent="0.35">
      <c r="A501" s="5">
        <v>498</v>
      </c>
    </row>
    <row r="502" spans="1:1" x14ac:dyDescent="0.35">
      <c r="A502" s="5">
        <v>499</v>
      </c>
    </row>
    <row r="503" spans="1:1" x14ac:dyDescent="0.35">
      <c r="A503" s="5">
        <v>500</v>
      </c>
    </row>
    <row r="504" spans="1:1" x14ac:dyDescent="0.35">
      <c r="A504" s="5">
        <v>501</v>
      </c>
    </row>
    <row r="505" spans="1:1" x14ac:dyDescent="0.35">
      <c r="A505" s="5">
        <v>502</v>
      </c>
    </row>
    <row r="506" spans="1:1" x14ac:dyDescent="0.35">
      <c r="A506" s="5">
        <v>503</v>
      </c>
    </row>
    <row r="507" spans="1:1" x14ac:dyDescent="0.35">
      <c r="A507" s="5">
        <v>504</v>
      </c>
    </row>
    <row r="508" spans="1:1" x14ac:dyDescent="0.35">
      <c r="A508" s="5">
        <v>505</v>
      </c>
    </row>
    <row r="509" spans="1:1" x14ac:dyDescent="0.35">
      <c r="A509" s="5">
        <v>506</v>
      </c>
    </row>
    <row r="510" spans="1:1" x14ac:dyDescent="0.35">
      <c r="A510" s="5">
        <v>507</v>
      </c>
    </row>
    <row r="511" spans="1:1" x14ac:dyDescent="0.35">
      <c r="A511" s="5">
        <v>508</v>
      </c>
    </row>
    <row r="512" spans="1:1" x14ac:dyDescent="0.35">
      <c r="A512" s="5">
        <v>509</v>
      </c>
    </row>
    <row r="513" spans="1:1" x14ac:dyDescent="0.35">
      <c r="A513" s="5">
        <v>510</v>
      </c>
    </row>
    <row r="514" spans="1:1" x14ac:dyDescent="0.35">
      <c r="A514" s="5">
        <v>511</v>
      </c>
    </row>
    <row r="515" spans="1:1" x14ac:dyDescent="0.35">
      <c r="A515" s="5">
        <v>512</v>
      </c>
    </row>
    <row r="516" spans="1:1" x14ac:dyDescent="0.35">
      <c r="A516" s="5">
        <v>513</v>
      </c>
    </row>
    <row r="517" spans="1:1" x14ac:dyDescent="0.35">
      <c r="A517" s="5">
        <v>514</v>
      </c>
    </row>
    <row r="518" spans="1:1" x14ac:dyDescent="0.35">
      <c r="A518" s="5">
        <v>515</v>
      </c>
    </row>
    <row r="519" spans="1:1" x14ac:dyDescent="0.35">
      <c r="A519" s="5">
        <v>516</v>
      </c>
    </row>
    <row r="520" spans="1:1" x14ac:dyDescent="0.35">
      <c r="A520" s="5">
        <v>517</v>
      </c>
    </row>
    <row r="521" spans="1:1" x14ac:dyDescent="0.35">
      <c r="A521" s="5">
        <v>518</v>
      </c>
    </row>
    <row r="522" spans="1:1" x14ac:dyDescent="0.35">
      <c r="A522" s="5">
        <v>519</v>
      </c>
    </row>
    <row r="523" spans="1:1" x14ac:dyDescent="0.35">
      <c r="A523" s="5">
        <v>520</v>
      </c>
    </row>
    <row r="524" spans="1:1" x14ac:dyDescent="0.35">
      <c r="A524" s="5">
        <v>521</v>
      </c>
    </row>
    <row r="525" spans="1:1" x14ac:dyDescent="0.35">
      <c r="A525" s="5">
        <v>522</v>
      </c>
    </row>
    <row r="526" spans="1:1" x14ac:dyDescent="0.35">
      <c r="A526" s="5">
        <v>523</v>
      </c>
    </row>
    <row r="527" spans="1:1" x14ac:dyDescent="0.35">
      <c r="A527" s="5">
        <v>524</v>
      </c>
    </row>
    <row r="528" spans="1:1" x14ac:dyDescent="0.35">
      <c r="A528" s="5">
        <v>525</v>
      </c>
    </row>
    <row r="529" spans="1:1" x14ac:dyDescent="0.35">
      <c r="A529" s="5">
        <v>526</v>
      </c>
    </row>
    <row r="530" spans="1:1" x14ac:dyDescent="0.35">
      <c r="A530" s="5">
        <v>527</v>
      </c>
    </row>
    <row r="531" spans="1:1" x14ac:dyDescent="0.35">
      <c r="A531" s="5">
        <v>528</v>
      </c>
    </row>
    <row r="532" spans="1:1" x14ac:dyDescent="0.35">
      <c r="A532" s="5">
        <v>529</v>
      </c>
    </row>
    <row r="533" spans="1:1" x14ac:dyDescent="0.35">
      <c r="A533" s="5">
        <v>530</v>
      </c>
    </row>
    <row r="534" spans="1:1" x14ac:dyDescent="0.35">
      <c r="A534" s="5">
        <v>531</v>
      </c>
    </row>
    <row r="535" spans="1:1" x14ac:dyDescent="0.35">
      <c r="A535" s="5">
        <v>532</v>
      </c>
    </row>
    <row r="536" spans="1:1" x14ac:dyDescent="0.35">
      <c r="A536" s="5">
        <v>533</v>
      </c>
    </row>
    <row r="537" spans="1:1" x14ac:dyDescent="0.35">
      <c r="A537" s="5">
        <v>534</v>
      </c>
    </row>
    <row r="538" spans="1:1" x14ac:dyDescent="0.35">
      <c r="A538" s="5">
        <v>535</v>
      </c>
    </row>
    <row r="539" spans="1:1" x14ac:dyDescent="0.35">
      <c r="A539" s="5">
        <v>536</v>
      </c>
    </row>
    <row r="540" spans="1:1" x14ac:dyDescent="0.35">
      <c r="A540" s="5">
        <v>537</v>
      </c>
    </row>
    <row r="541" spans="1:1" x14ac:dyDescent="0.35">
      <c r="A541" s="5">
        <v>538</v>
      </c>
    </row>
    <row r="542" spans="1:1" x14ac:dyDescent="0.35">
      <c r="A542" s="5">
        <v>539</v>
      </c>
    </row>
    <row r="543" spans="1:1" x14ac:dyDescent="0.35">
      <c r="A543" s="5">
        <v>540</v>
      </c>
    </row>
    <row r="544" spans="1:1" x14ac:dyDescent="0.35">
      <c r="A544" s="5">
        <v>541</v>
      </c>
    </row>
    <row r="545" spans="1:1" x14ac:dyDescent="0.35">
      <c r="A545" s="5">
        <v>542</v>
      </c>
    </row>
    <row r="546" spans="1:1" x14ac:dyDescent="0.35">
      <c r="A546" s="5">
        <v>543</v>
      </c>
    </row>
    <row r="547" spans="1:1" x14ac:dyDescent="0.35">
      <c r="A547" s="5">
        <v>544</v>
      </c>
    </row>
    <row r="548" spans="1:1" x14ac:dyDescent="0.35">
      <c r="A548" s="5">
        <v>545</v>
      </c>
    </row>
    <row r="549" spans="1:1" x14ac:dyDescent="0.35">
      <c r="A549" s="5">
        <v>546</v>
      </c>
    </row>
    <row r="550" spans="1:1" x14ac:dyDescent="0.35">
      <c r="A550" s="5">
        <v>547</v>
      </c>
    </row>
    <row r="551" spans="1:1" x14ac:dyDescent="0.35">
      <c r="A551" s="5">
        <v>548</v>
      </c>
    </row>
    <row r="552" spans="1:1" x14ac:dyDescent="0.35">
      <c r="A552" s="5">
        <v>549</v>
      </c>
    </row>
    <row r="553" spans="1:1" x14ac:dyDescent="0.35">
      <c r="A553" s="5">
        <v>550</v>
      </c>
    </row>
    <row r="554" spans="1:1" x14ac:dyDescent="0.35">
      <c r="A554" s="5">
        <v>551</v>
      </c>
    </row>
    <row r="555" spans="1:1" x14ac:dyDescent="0.35">
      <c r="A555" s="5">
        <v>552</v>
      </c>
    </row>
    <row r="556" spans="1:1" x14ac:dyDescent="0.35">
      <c r="A556" s="5">
        <v>553</v>
      </c>
    </row>
    <row r="557" spans="1:1" x14ac:dyDescent="0.35">
      <c r="A557" s="5">
        <v>554</v>
      </c>
    </row>
    <row r="558" spans="1:1" x14ac:dyDescent="0.35">
      <c r="A558" s="5">
        <v>555</v>
      </c>
    </row>
    <row r="559" spans="1:1" x14ac:dyDescent="0.35">
      <c r="A559" s="5">
        <v>556</v>
      </c>
    </row>
    <row r="560" spans="1:1" x14ac:dyDescent="0.35">
      <c r="A560" s="5">
        <v>557</v>
      </c>
    </row>
    <row r="561" spans="1:1" x14ac:dyDescent="0.35">
      <c r="A561" s="5">
        <v>558</v>
      </c>
    </row>
    <row r="562" spans="1:1" x14ac:dyDescent="0.35">
      <c r="A562" s="5">
        <v>559</v>
      </c>
    </row>
    <row r="563" spans="1:1" x14ac:dyDescent="0.35">
      <c r="A563" s="5">
        <v>560</v>
      </c>
    </row>
    <row r="564" spans="1:1" x14ac:dyDescent="0.35">
      <c r="A564" s="5">
        <v>561</v>
      </c>
    </row>
    <row r="565" spans="1:1" x14ac:dyDescent="0.35">
      <c r="A565" s="5">
        <v>562</v>
      </c>
    </row>
    <row r="566" spans="1:1" x14ac:dyDescent="0.35">
      <c r="A566" s="5">
        <v>563</v>
      </c>
    </row>
    <row r="567" spans="1:1" x14ac:dyDescent="0.35">
      <c r="A567" s="5">
        <v>564</v>
      </c>
    </row>
    <row r="568" spans="1:1" x14ac:dyDescent="0.35">
      <c r="A568" s="5">
        <v>565</v>
      </c>
    </row>
    <row r="569" spans="1:1" x14ac:dyDescent="0.35">
      <c r="A569" s="5">
        <v>566</v>
      </c>
    </row>
    <row r="570" spans="1:1" x14ac:dyDescent="0.35">
      <c r="A570" s="5">
        <v>567</v>
      </c>
    </row>
    <row r="571" spans="1:1" x14ac:dyDescent="0.35">
      <c r="A571" s="5">
        <v>568</v>
      </c>
    </row>
    <row r="572" spans="1:1" x14ac:dyDescent="0.35">
      <c r="A572" s="5">
        <v>569</v>
      </c>
    </row>
    <row r="573" spans="1:1" x14ac:dyDescent="0.35">
      <c r="A573" s="5">
        <v>570</v>
      </c>
    </row>
    <row r="574" spans="1:1" x14ac:dyDescent="0.35">
      <c r="A574" s="5">
        <v>571</v>
      </c>
    </row>
    <row r="575" spans="1:1" x14ac:dyDescent="0.35">
      <c r="A575" s="5">
        <v>572</v>
      </c>
    </row>
    <row r="576" spans="1:1" x14ac:dyDescent="0.35">
      <c r="A576" s="5">
        <v>573</v>
      </c>
    </row>
    <row r="577" spans="1:1" x14ac:dyDescent="0.35">
      <c r="A577" s="5">
        <v>574</v>
      </c>
    </row>
    <row r="578" spans="1:1" x14ac:dyDescent="0.35">
      <c r="A578" s="5">
        <v>575</v>
      </c>
    </row>
    <row r="579" spans="1:1" x14ac:dyDescent="0.35">
      <c r="A579" s="5">
        <v>576</v>
      </c>
    </row>
    <row r="580" spans="1:1" x14ac:dyDescent="0.35">
      <c r="A580" s="5">
        <v>577</v>
      </c>
    </row>
    <row r="581" spans="1:1" x14ac:dyDescent="0.35">
      <c r="A581" s="5">
        <v>578</v>
      </c>
    </row>
    <row r="582" spans="1:1" x14ac:dyDescent="0.35">
      <c r="A582" s="5">
        <v>579</v>
      </c>
    </row>
    <row r="583" spans="1:1" x14ac:dyDescent="0.35">
      <c r="A583" s="5">
        <v>580</v>
      </c>
    </row>
    <row r="584" spans="1:1" x14ac:dyDescent="0.35">
      <c r="A584" s="5">
        <v>581</v>
      </c>
    </row>
    <row r="585" spans="1:1" x14ac:dyDescent="0.35">
      <c r="A585" s="5">
        <v>582</v>
      </c>
    </row>
    <row r="586" spans="1:1" x14ac:dyDescent="0.35">
      <c r="A586" s="5">
        <v>583</v>
      </c>
    </row>
    <row r="587" spans="1:1" x14ac:dyDescent="0.35">
      <c r="A587" s="5">
        <v>584</v>
      </c>
    </row>
    <row r="588" spans="1:1" x14ac:dyDescent="0.35">
      <c r="A588" s="5">
        <v>585</v>
      </c>
    </row>
    <row r="589" spans="1:1" x14ac:dyDescent="0.35">
      <c r="A589" s="5">
        <v>586</v>
      </c>
    </row>
    <row r="590" spans="1:1" x14ac:dyDescent="0.35">
      <c r="A590" s="5">
        <v>587</v>
      </c>
    </row>
    <row r="591" spans="1:1" x14ac:dyDescent="0.35">
      <c r="A591" s="5">
        <v>588</v>
      </c>
    </row>
    <row r="592" spans="1:1" x14ac:dyDescent="0.35">
      <c r="A592" s="5">
        <v>589</v>
      </c>
    </row>
    <row r="593" spans="1:1" x14ac:dyDescent="0.35">
      <c r="A593" s="5">
        <v>590</v>
      </c>
    </row>
    <row r="594" spans="1:1" x14ac:dyDescent="0.35">
      <c r="A594" s="5">
        <v>591</v>
      </c>
    </row>
    <row r="595" spans="1:1" x14ac:dyDescent="0.35">
      <c r="A595" s="5">
        <v>592</v>
      </c>
    </row>
    <row r="596" spans="1:1" x14ac:dyDescent="0.35">
      <c r="A596" s="5">
        <v>593</v>
      </c>
    </row>
    <row r="597" spans="1:1" x14ac:dyDescent="0.35">
      <c r="A597" s="5">
        <v>594</v>
      </c>
    </row>
    <row r="598" spans="1:1" x14ac:dyDescent="0.35">
      <c r="A598" s="5">
        <v>595</v>
      </c>
    </row>
    <row r="599" spans="1:1" x14ac:dyDescent="0.35">
      <c r="A599" s="5">
        <v>596</v>
      </c>
    </row>
    <row r="600" spans="1:1" x14ac:dyDescent="0.35">
      <c r="A600" s="5">
        <v>597</v>
      </c>
    </row>
    <row r="601" spans="1:1" x14ac:dyDescent="0.35">
      <c r="A601" s="5">
        <v>598</v>
      </c>
    </row>
    <row r="602" spans="1:1" x14ac:dyDescent="0.35">
      <c r="A602" s="5">
        <v>599</v>
      </c>
    </row>
    <row r="603" spans="1:1" x14ac:dyDescent="0.35">
      <c r="A603" s="5">
        <v>600</v>
      </c>
    </row>
    <row r="604" spans="1:1" x14ac:dyDescent="0.35">
      <c r="A604" s="5">
        <v>601</v>
      </c>
    </row>
    <row r="605" spans="1:1" x14ac:dyDescent="0.35">
      <c r="A605" s="5">
        <v>602</v>
      </c>
    </row>
    <row r="606" spans="1:1" x14ac:dyDescent="0.35">
      <c r="A606" s="5">
        <v>603</v>
      </c>
    </row>
    <row r="607" spans="1:1" x14ac:dyDescent="0.35">
      <c r="A607" s="5">
        <v>604</v>
      </c>
    </row>
    <row r="608" spans="1:1" x14ac:dyDescent="0.35">
      <c r="A608" s="5">
        <v>605</v>
      </c>
    </row>
    <row r="609" spans="1:1" x14ac:dyDescent="0.35">
      <c r="A609" s="5">
        <v>606</v>
      </c>
    </row>
    <row r="610" spans="1:1" x14ac:dyDescent="0.35">
      <c r="A610" s="5">
        <v>607</v>
      </c>
    </row>
    <row r="611" spans="1:1" x14ac:dyDescent="0.35">
      <c r="A611" s="5">
        <v>608</v>
      </c>
    </row>
    <row r="612" spans="1:1" x14ac:dyDescent="0.35">
      <c r="A612" s="5">
        <v>609</v>
      </c>
    </row>
    <row r="613" spans="1:1" x14ac:dyDescent="0.35">
      <c r="A613" s="5">
        <v>610</v>
      </c>
    </row>
    <row r="614" spans="1:1" x14ac:dyDescent="0.35">
      <c r="A614" s="5">
        <v>611</v>
      </c>
    </row>
    <row r="615" spans="1:1" x14ac:dyDescent="0.35">
      <c r="A615" s="5">
        <v>612</v>
      </c>
    </row>
    <row r="616" spans="1:1" x14ac:dyDescent="0.35">
      <c r="A616" s="5">
        <v>613</v>
      </c>
    </row>
    <row r="617" spans="1:1" x14ac:dyDescent="0.35">
      <c r="A617" s="5">
        <v>614</v>
      </c>
    </row>
    <row r="618" spans="1:1" x14ac:dyDescent="0.35">
      <c r="A618" s="5">
        <v>615</v>
      </c>
    </row>
    <row r="619" spans="1:1" x14ac:dyDescent="0.35">
      <c r="A619" s="5">
        <v>616</v>
      </c>
    </row>
    <row r="620" spans="1:1" x14ac:dyDescent="0.35">
      <c r="A620" s="5">
        <v>617</v>
      </c>
    </row>
    <row r="621" spans="1:1" x14ac:dyDescent="0.35">
      <c r="A621" s="5">
        <v>618</v>
      </c>
    </row>
    <row r="622" spans="1:1" x14ac:dyDescent="0.35">
      <c r="A622" s="5">
        <v>619</v>
      </c>
    </row>
    <row r="623" spans="1:1" x14ac:dyDescent="0.35">
      <c r="A623" s="5">
        <v>620</v>
      </c>
    </row>
    <row r="624" spans="1:1" x14ac:dyDescent="0.35">
      <c r="A624" s="5">
        <v>621</v>
      </c>
    </row>
    <row r="625" spans="1:1" x14ac:dyDescent="0.35">
      <c r="A625" s="5">
        <v>622</v>
      </c>
    </row>
    <row r="626" spans="1:1" x14ac:dyDescent="0.35">
      <c r="A626" s="5">
        <v>623</v>
      </c>
    </row>
    <row r="627" spans="1:1" x14ac:dyDescent="0.35">
      <c r="A627" s="5">
        <v>624</v>
      </c>
    </row>
    <row r="628" spans="1:1" x14ac:dyDescent="0.35">
      <c r="A628" s="5">
        <v>625</v>
      </c>
    </row>
    <row r="629" spans="1:1" x14ac:dyDescent="0.35">
      <c r="A629" s="5">
        <v>626</v>
      </c>
    </row>
    <row r="630" spans="1:1" x14ac:dyDescent="0.35">
      <c r="A630" s="5">
        <v>627</v>
      </c>
    </row>
    <row r="631" spans="1:1" x14ac:dyDescent="0.35">
      <c r="A631" s="5">
        <v>628</v>
      </c>
    </row>
    <row r="632" spans="1:1" x14ac:dyDescent="0.35">
      <c r="A632" s="5">
        <v>629</v>
      </c>
    </row>
    <row r="633" spans="1:1" x14ac:dyDescent="0.35">
      <c r="A633" s="5">
        <v>630</v>
      </c>
    </row>
    <row r="634" spans="1:1" x14ac:dyDescent="0.35">
      <c r="A634" s="5">
        <v>631</v>
      </c>
    </row>
    <row r="635" spans="1:1" x14ac:dyDescent="0.35">
      <c r="A635" s="5">
        <v>632</v>
      </c>
    </row>
    <row r="636" spans="1:1" x14ac:dyDescent="0.35">
      <c r="A636" s="5">
        <v>633</v>
      </c>
    </row>
    <row r="637" spans="1:1" x14ac:dyDescent="0.35">
      <c r="A637" s="5">
        <v>634</v>
      </c>
    </row>
    <row r="638" spans="1:1" x14ac:dyDescent="0.35">
      <c r="A638" s="5">
        <v>635</v>
      </c>
    </row>
    <row r="639" spans="1:1" x14ac:dyDescent="0.35">
      <c r="A639" s="5">
        <v>636</v>
      </c>
    </row>
    <row r="640" spans="1:1" x14ac:dyDescent="0.35">
      <c r="A640" s="5">
        <v>637</v>
      </c>
    </row>
    <row r="641" spans="1:1" x14ac:dyDescent="0.35">
      <c r="A641" s="5">
        <v>638</v>
      </c>
    </row>
    <row r="642" spans="1:1" x14ac:dyDescent="0.35">
      <c r="A642" s="5">
        <v>639</v>
      </c>
    </row>
    <row r="643" spans="1:1" x14ac:dyDescent="0.35">
      <c r="A643" s="5">
        <v>640</v>
      </c>
    </row>
    <row r="644" spans="1:1" x14ac:dyDescent="0.35">
      <c r="A644" s="5">
        <v>641</v>
      </c>
    </row>
    <row r="645" spans="1:1" x14ac:dyDescent="0.35">
      <c r="A645" s="5">
        <v>642</v>
      </c>
    </row>
    <row r="646" spans="1:1" x14ac:dyDescent="0.35">
      <c r="A646" s="5">
        <v>643</v>
      </c>
    </row>
    <row r="647" spans="1:1" x14ac:dyDescent="0.35">
      <c r="A647" s="5">
        <v>644</v>
      </c>
    </row>
    <row r="648" spans="1:1" x14ac:dyDescent="0.35">
      <c r="A648" s="5">
        <v>645</v>
      </c>
    </row>
    <row r="649" spans="1:1" x14ac:dyDescent="0.35">
      <c r="A649" s="5">
        <v>646</v>
      </c>
    </row>
    <row r="650" spans="1:1" x14ac:dyDescent="0.35">
      <c r="A650" s="5">
        <v>647</v>
      </c>
    </row>
    <row r="651" spans="1:1" x14ac:dyDescent="0.35">
      <c r="A651" s="5">
        <v>648</v>
      </c>
    </row>
    <row r="652" spans="1:1" x14ac:dyDescent="0.35">
      <c r="A652" s="5">
        <v>649</v>
      </c>
    </row>
    <row r="653" spans="1:1" x14ac:dyDescent="0.35">
      <c r="A653" s="5">
        <v>650</v>
      </c>
    </row>
    <row r="654" spans="1:1" x14ac:dyDescent="0.35">
      <c r="A654" s="5">
        <v>651</v>
      </c>
    </row>
    <row r="655" spans="1:1" x14ac:dyDescent="0.35">
      <c r="A655" s="5">
        <v>652</v>
      </c>
    </row>
    <row r="656" spans="1:1" x14ac:dyDescent="0.35">
      <c r="A656" s="5">
        <v>653</v>
      </c>
    </row>
    <row r="657" spans="1:1" x14ac:dyDescent="0.35">
      <c r="A657" s="5">
        <v>654</v>
      </c>
    </row>
    <row r="658" spans="1:1" x14ac:dyDescent="0.35">
      <c r="A658" s="5">
        <v>655</v>
      </c>
    </row>
    <row r="659" spans="1:1" x14ac:dyDescent="0.35">
      <c r="A659" s="5">
        <v>656</v>
      </c>
    </row>
    <row r="660" spans="1:1" x14ac:dyDescent="0.35">
      <c r="A660" s="5">
        <v>657</v>
      </c>
    </row>
    <row r="661" spans="1:1" x14ac:dyDescent="0.35">
      <c r="A661" s="5">
        <v>658</v>
      </c>
    </row>
    <row r="662" spans="1:1" x14ac:dyDescent="0.35">
      <c r="A662" s="5">
        <v>659</v>
      </c>
    </row>
    <row r="663" spans="1:1" x14ac:dyDescent="0.35">
      <c r="A663" s="5">
        <v>660</v>
      </c>
    </row>
    <row r="664" spans="1:1" x14ac:dyDescent="0.35">
      <c r="A664" s="5">
        <v>661</v>
      </c>
    </row>
    <row r="665" spans="1:1" x14ac:dyDescent="0.35">
      <c r="A665" s="5">
        <v>662</v>
      </c>
    </row>
    <row r="666" spans="1:1" x14ac:dyDescent="0.35">
      <c r="A666" s="5">
        <v>663</v>
      </c>
    </row>
    <row r="667" spans="1:1" x14ac:dyDescent="0.35">
      <c r="A667" s="5">
        <v>664</v>
      </c>
    </row>
    <row r="668" spans="1:1" x14ac:dyDescent="0.35">
      <c r="A668" s="5">
        <v>665</v>
      </c>
    </row>
    <row r="669" spans="1:1" x14ac:dyDescent="0.35">
      <c r="A669" s="5">
        <v>666</v>
      </c>
    </row>
    <row r="670" spans="1:1" x14ac:dyDescent="0.35">
      <c r="A670" s="5">
        <v>667</v>
      </c>
    </row>
    <row r="671" spans="1:1" x14ac:dyDescent="0.35">
      <c r="A671" s="5">
        <v>668</v>
      </c>
    </row>
    <row r="672" spans="1:1" x14ac:dyDescent="0.35">
      <c r="A672" s="5">
        <v>669</v>
      </c>
    </row>
    <row r="673" spans="1:1" x14ac:dyDescent="0.35">
      <c r="A673" s="5">
        <v>670</v>
      </c>
    </row>
    <row r="674" spans="1:1" x14ac:dyDescent="0.35">
      <c r="A674" s="5">
        <v>671</v>
      </c>
    </row>
    <row r="675" spans="1:1" x14ac:dyDescent="0.35">
      <c r="A675" s="5">
        <v>672</v>
      </c>
    </row>
    <row r="676" spans="1:1" x14ac:dyDescent="0.35">
      <c r="A676" s="5">
        <v>673</v>
      </c>
    </row>
    <row r="677" spans="1:1" x14ac:dyDescent="0.35">
      <c r="A677" s="5">
        <v>674</v>
      </c>
    </row>
    <row r="678" spans="1:1" x14ac:dyDescent="0.35">
      <c r="A678" s="5">
        <v>675</v>
      </c>
    </row>
    <row r="679" spans="1:1" x14ac:dyDescent="0.35">
      <c r="A679" s="5">
        <v>676</v>
      </c>
    </row>
    <row r="680" spans="1:1" x14ac:dyDescent="0.35">
      <c r="A680" s="5">
        <v>677</v>
      </c>
    </row>
    <row r="681" spans="1:1" x14ac:dyDescent="0.35">
      <c r="A681" s="5">
        <v>678</v>
      </c>
    </row>
    <row r="682" spans="1:1" x14ac:dyDescent="0.35">
      <c r="A682" s="5">
        <v>679</v>
      </c>
    </row>
    <row r="683" spans="1:1" x14ac:dyDescent="0.35">
      <c r="A683" s="5">
        <v>680</v>
      </c>
    </row>
    <row r="684" spans="1:1" x14ac:dyDescent="0.35">
      <c r="A684" s="5">
        <v>681</v>
      </c>
    </row>
    <row r="685" spans="1:1" x14ac:dyDescent="0.35">
      <c r="A685" s="5">
        <v>682</v>
      </c>
    </row>
    <row r="686" spans="1:1" x14ac:dyDescent="0.35">
      <c r="A686" s="5">
        <v>683</v>
      </c>
    </row>
    <row r="687" spans="1:1" x14ac:dyDescent="0.35">
      <c r="A687" s="5">
        <v>684</v>
      </c>
    </row>
    <row r="688" spans="1:1" x14ac:dyDescent="0.35">
      <c r="A688" s="5">
        <v>685</v>
      </c>
    </row>
    <row r="689" spans="1:1" x14ac:dyDescent="0.35">
      <c r="A689" s="5">
        <v>686</v>
      </c>
    </row>
    <row r="690" spans="1:1" x14ac:dyDescent="0.35">
      <c r="A690" s="5">
        <v>687</v>
      </c>
    </row>
    <row r="691" spans="1:1" x14ac:dyDescent="0.35">
      <c r="A691" s="5">
        <v>688</v>
      </c>
    </row>
    <row r="692" spans="1:1" x14ac:dyDescent="0.35">
      <c r="A692" s="5">
        <v>689</v>
      </c>
    </row>
    <row r="693" spans="1:1" x14ac:dyDescent="0.35">
      <c r="A693" s="5">
        <v>690</v>
      </c>
    </row>
    <row r="694" spans="1:1" x14ac:dyDescent="0.35">
      <c r="A694" s="5">
        <v>691</v>
      </c>
    </row>
    <row r="695" spans="1:1" x14ac:dyDescent="0.35">
      <c r="A695" s="5">
        <v>692</v>
      </c>
    </row>
    <row r="696" spans="1:1" x14ac:dyDescent="0.35">
      <c r="A696" s="5">
        <v>693</v>
      </c>
    </row>
    <row r="697" spans="1:1" x14ac:dyDescent="0.35">
      <c r="A697" s="5">
        <v>694</v>
      </c>
    </row>
    <row r="698" spans="1:1" x14ac:dyDescent="0.35">
      <c r="A698" s="5">
        <v>695</v>
      </c>
    </row>
    <row r="699" spans="1:1" x14ac:dyDescent="0.35">
      <c r="A699" s="5">
        <v>696</v>
      </c>
    </row>
    <row r="700" spans="1:1" x14ac:dyDescent="0.35">
      <c r="A700" s="5">
        <v>697</v>
      </c>
    </row>
    <row r="701" spans="1:1" x14ac:dyDescent="0.35">
      <c r="A701" s="5">
        <v>698</v>
      </c>
    </row>
    <row r="702" spans="1:1" x14ac:dyDescent="0.35">
      <c r="A702" s="5">
        <v>699</v>
      </c>
    </row>
    <row r="703" spans="1:1" x14ac:dyDescent="0.35">
      <c r="A703" s="5">
        <v>700</v>
      </c>
    </row>
    <row r="704" spans="1:1" x14ac:dyDescent="0.35">
      <c r="A704" s="5">
        <v>701</v>
      </c>
    </row>
    <row r="705" spans="1:1" x14ac:dyDescent="0.35">
      <c r="A705" s="5">
        <v>702</v>
      </c>
    </row>
    <row r="706" spans="1:1" x14ac:dyDescent="0.35">
      <c r="A706" s="5">
        <v>703</v>
      </c>
    </row>
    <row r="707" spans="1:1" x14ac:dyDescent="0.35">
      <c r="A707" s="5">
        <v>704</v>
      </c>
    </row>
    <row r="708" spans="1:1" x14ac:dyDescent="0.35">
      <c r="A708" s="5">
        <v>705</v>
      </c>
    </row>
    <row r="709" spans="1:1" x14ac:dyDescent="0.35">
      <c r="A709" s="5">
        <v>706</v>
      </c>
    </row>
    <row r="710" spans="1:1" x14ac:dyDescent="0.35">
      <c r="A710" s="5">
        <v>707</v>
      </c>
    </row>
    <row r="711" spans="1:1" x14ac:dyDescent="0.35">
      <c r="A711" s="5">
        <v>708</v>
      </c>
    </row>
    <row r="712" spans="1:1" x14ac:dyDescent="0.35">
      <c r="A712" s="5">
        <v>709</v>
      </c>
    </row>
    <row r="713" spans="1:1" x14ac:dyDescent="0.35">
      <c r="A713" s="5">
        <v>710</v>
      </c>
    </row>
    <row r="714" spans="1:1" x14ac:dyDescent="0.35">
      <c r="A714" s="5">
        <v>711</v>
      </c>
    </row>
    <row r="715" spans="1:1" x14ac:dyDescent="0.35">
      <c r="A715" s="5">
        <v>712</v>
      </c>
    </row>
    <row r="716" spans="1:1" x14ac:dyDescent="0.35">
      <c r="A716" s="5">
        <v>713</v>
      </c>
    </row>
    <row r="717" spans="1:1" x14ac:dyDescent="0.35">
      <c r="A717" s="5">
        <v>714</v>
      </c>
    </row>
    <row r="718" spans="1:1" x14ac:dyDescent="0.35">
      <c r="A718" s="5">
        <v>715</v>
      </c>
    </row>
    <row r="719" spans="1:1" x14ac:dyDescent="0.35">
      <c r="A719" s="5">
        <v>716</v>
      </c>
    </row>
    <row r="720" spans="1:1" x14ac:dyDescent="0.35">
      <c r="A720" s="5">
        <v>717</v>
      </c>
    </row>
    <row r="721" spans="1:1" x14ac:dyDescent="0.35">
      <c r="A721" s="5">
        <v>718</v>
      </c>
    </row>
    <row r="722" spans="1:1" x14ac:dyDescent="0.35">
      <c r="A722" s="5">
        <v>719</v>
      </c>
    </row>
    <row r="723" spans="1:1" x14ac:dyDescent="0.35">
      <c r="A723" s="5">
        <v>720</v>
      </c>
    </row>
    <row r="724" spans="1:1" x14ac:dyDescent="0.35">
      <c r="A724" s="5">
        <v>721</v>
      </c>
    </row>
    <row r="725" spans="1:1" x14ac:dyDescent="0.35">
      <c r="A725" s="5">
        <v>722</v>
      </c>
    </row>
    <row r="726" spans="1:1" x14ac:dyDescent="0.35">
      <c r="A726" s="5">
        <v>723</v>
      </c>
    </row>
    <row r="727" spans="1:1" x14ac:dyDescent="0.35">
      <c r="A727" s="5">
        <v>724</v>
      </c>
    </row>
    <row r="728" spans="1:1" x14ac:dyDescent="0.35">
      <c r="A728" s="5">
        <v>725</v>
      </c>
    </row>
    <row r="729" spans="1:1" x14ac:dyDescent="0.35">
      <c r="A729" s="5">
        <v>726</v>
      </c>
    </row>
    <row r="730" spans="1:1" x14ac:dyDescent="0.35">
      <c r="A730" s="5">
        <v>727</v>
      </c>
    </row>
    <row r="731" spans="1:1" x14ac:dyDescent="0.35">
      <c r="A731" s="5">
        <v>728</v>
      </c>
    </row>
    <row r="732" spans="1:1" x14ac:dyDescent="0.35">
      <c r="A732" s="5">
        <v>729</v>
      </c>
    </row>
    <row r="733" spans="1:1" x14ac:dyDescent="0.35">
      <c r="A733" s="5">
        <v>730</v>
      </c>
    </row>
    <row r="734" spans="1:1" x14ac:dyDescent="0.35">
      <c r="A734" s="5">
        <v>731</v>
      </c>
    </row>
    <row r="735" spans="1:1" x14ac:dyDescent="0.35">
      <c r="A735" s="5">
        <v>732</v>
      </c>
    </row>
    <row r="736" spans="1:1" x14ac:dyDescent="0.35">
      <c r="A736" s="5">
        <v>733</v>
      </c>
    </row>
    <row r="737" spans="1:1" x14ac:dyDescent="0.35">
      <c r="A737" s="5">
        <v>734</v>
      </c>
    </row>
    <row r="738" spans="1:1" x14ac:dyDescent="0.35">
      <c r="A738" s="5">
        <v>735</v>
      </c>
    </row>
    <row r="739" spans="1:1" x14ac:dyDescent="0.35">
      <c r="A739" s="5">
        <v>736</v>
      </c>
    </row>
    <row r="740" spans="1:1" x14ac:dyDescent="0.35">
      <c r="A740" s="5">
        <v>737</v>
      </c>
    </row>
    <row r="741" spans="1:1" x14ac:dyDescent="0.35">
      <c r="A741" s="5">
        <v>738</v>
      </c>
    </row>
    <row r="742" spans="1:1" x14ac:dyDescent="0.35">
      <c r="A742" s="5">
        <v>739</v>
      </c>
    </row>
    <row r="743" spans="1:1" x14ac:dyDescent="0.35">
      <c r="A743" s="5">
        <v>740</v>
      </c>
    </row>
    <row r="744" spans="1:1" x14ac:dyDescent="0.35">
      <c r="A744" s="5">
        <v>741</v>
      </c>
    </row>
    <row r="745" spans="1:1" x14ac:dyDescent="0.35">
      <c r="A745" s="5">
        <v>742</v>
      </c>
    </row>
    <row r="746" spans="1:1" x14ac:dyDescent="0.35">
      <c r="A746" s="5">
        <v>743</v>
      </c>
    </row>
    <row r="747" spans="1:1" x14ac:dyDescent="0.35">
      <c r="A747" s="5">
        <v>744</v>
      </c>
    </row>
    <row r="748" spans="1:1" x14ac:dyDescent="0.35">
      <c r="A748" s="5">
        <v>745</v>
      </c>
    </row>
    <row r="749" spans="1:1" x14ac:dyDescent="0.35">
      <c r="A749" s="5">
        <v>746</v>
      </c>
    </row>
    <row r="750" spans="1:1" x14ac:dyDescent="0.35">
      <c r="A750" s="5">
        <v>747</v>
      </c>
    </row>
    <row r="751" spans="1:1" x14ac:dyDescent="0.35">
      <c r="A751" s="5">
        <v>748</v>
      </c>
    </row>
    <row r="752" spans="1:1" x14ac:dyDescent="0.35">
      <c r="A752" s="5">
        <v>749</v>
      </c>
    </row>
    <row r="753" spans="1:1" x14ac:dyDescent="0.35">
      <c r="A753" s="5">
        <v>750</v>
      </c>
    </row>
    <row r="754" spans="1:1" x14ac:dyDescent="0.35">
      <c r="A754" s="5">
        <v>751</v>
      </c>
    </row>
    <row r="755" spans="1:1" x14ac:dyDescent="0.35">
      <c r="A755" s="5">
        <v>752</v>
      </c>
    </row>
    <row r="756" spans="1:1" x14ac:dyDescent="0.35">
      <c r="A756" s="5">
        <v>753</v>
      </c>
    </row>
    <row r="757" spans="1:1" x14ac:dyDescent="0.35">
      <c r="A757" s="5">
        <v>754</v>
      </c>
    </row>
    <row r="758" spans="1:1" x14ac:dyDescent="0.35">
      <c r="A758" s="5">
        <v>755</v>
      </c>
    </row>
    <row r="759" spans="1:1" x14ac:dyDescent="0.35">
      <c r="A759" s="5">
        <v>756</v>
      </c>
    </row>
    <row r="760" spans="1:1" x14ac:dyDescent="0.35">
      <c r="A760" s="5">
        <v>757</v>
      </c>
    </row>
    <row r="761" spans="1:1" x14ac:dyDescent="0.35">
      <c r="A761" s="5">
        <v>758</v>
      </c>
    </row>
    <row r="762" spans="1:1" x14ac:dyDescent="0.35">
      <c r="A762" s="5">
        <v>759</v>
      </c>
    </row>
    <row r="763" spans="1:1" x14ac:dyDescent="0.35">
      <c r="A763" s="5">
        <v>760</v>
      </c>
    </row>
    <row r="764" spans="1:1" x14ac:dyDescent="0.35">
      <c r="A764" s="5">
        <v>761</v>
      </c>
    </row>
    <row r="765" spans="1:1" x14ac:dyDescent="0.35">
      <c r="A765" s="5">
        <v>762</v>
      </c>
    </row>
    <row r="766" spans="1:1" x14ac:dyDescent="0.35">
      <c r="A766" s="5">
        <v>763</v>
      </c>
    </row>
    <row r="767" spans="1:1" x14ac:dyDescent="0.35">
      <c r="A767" s="5">
        <v>764</v>
      </c>
    </row>
    <row r="768" spans="1:1" x14ac:dyDescent="0.35">
      <c r="A768" s="5">
        <v>765</v>
      </c>
    </row>
    <row r="769" spans="1:1" x14ac:dyDescent="0.35">
      <c r="A769" s="5">
        <v>766</v>
      </c>
    </row>
    <row r="770" spans="1:1" x14ac:dyDescent="0.35">
      <c r="A770" s="5">
        <v>767</v>
      </c>
    </row>
    <row r="771" spans="1:1" x14ac:dyDescent="0.35">
      <c r="A771" s="5">
        <v>768</v>
      </c>
    </row>
    <row r="772" spans="1:1" x14ac:dyDescent="0.35">
      <c r="A772" s="5">
        <v>769</v>
      </c>
    </row>
    <row r="773" spans="1:1" x14ac:dyDescent="0.35">
      <c r="A773" s="5">
        <v>770</v>
      </c>
    </row>
    <row r="774" spans="1:1" x14ac:dyDescent="0.35">
      <c r="A774" s="5">
        <v>771</v>
      </c>
    </row>
    <row r="775" spans="1:1" x14ac:dyDescent="0.35">
      <c r="A775" s="5">
        <v>772</v>
      </c>
    </row>
    <row r="776" spans="1:1" x14ac:dyDescent="0.35">
      <c r="A776" s="5">
        <v>773</v>
      </c>
    </row>
    <row r="777" spans="1:1" x14ac:dyDescent="0.35">
      <c r="A777" s="5">
        <v>774</v>
      </c>
    </row>
    <row r="778" spans="1:1" x14ac:dyDescent="0.35">
      <c r="A778" s="5">
        <v>775</v>
      </c>
    </row>
    <row r="779" spans="1:1" x14ac:dyDescent="0.35">
      <c r="A779" s="5">
        <v>776</v>
      </c>
    </row>
    <row r="780" spans="1:1" x14ac:dyDescent="0.35">
      <c r="A780" s="5">
        <v>777</v>
      </c>
    </row>
    <row r="781" spans="1:1" x14ac:dyDescent="0.35">
      <c r="A781" s="5">
        <v>778</v>
      </c>
    </row>
    <row r="782" spans="1:1" x14ac:dyDescent="0.35">
      <c r="A782" s="5">
        <v>779</v>
      </c>
    </row>
    <row r="783" spans="1:1" x14ac:dyDescent="0.35">
      <c r="A783" s="5">
        <v>780</v>
      </c>
    </row>
    <row r="784" spans="1:1" x14ac:dyDescent="0.35">
      <c r="A784" s="5">
        <v>781</v>
      </c>
    </row>
    <row r="785" spans="1:1" x14ac:dyDescent="0.35">
      <c r="A785" s="5">
        <v>782</v>
      </c>
    </row>
    <row r="786" spans="1:1" x14ac:dyDescent="0.35">
      <c r="A786" s="5">
        <v>783</v>
      </c>
    </row>
    <row r="787" spans="1:1" x14ac:dyDescent="0.35">
      <c r="A787" s="5">
        <v>784</v>
      </c>
    </row>
    <row r="788" spans="1:1" x14ac:dyDescent="0.35">
      <c r="A788" s="5">
        <v>785</v>
      </c>
    </row>
    <row r="789" spans="1:1" x14ac:dyDescent="0.35">
      <c r="A789" s="5">
        <v>786</v>
      </c>
    </row>
    <row r="790" spans="1:1" x14ac:dyDescent="0.35">
      <c r="A790" s="5">
        <v>787</v>
      </c>
    </row>
    <row r="791" spans="1:1" x14ac:dyDescent="0.35">
      <c r="A791" s="5">
        <v>788</v>
      </c>
    </row>
    <row r="792" spans="1:1" x14ac:dyDescent="0.35">
      <c r="A792" s="5">
        <v>789</v>
      </c>
    </row>
    <row r="793" spans="1:1" x14ac:dyDescent="0.35">
      <c r="A793" s="5">
        <v>790</v>
      </c>
    </row>
    <row r="794" spans="1:1" x14ac:dyDescent="0.35">
      <c r="A794" s="5">
        <v>791</v>
      </c>
    </row>
    <row r="795" spans="1:1" x14ac:dyDescent="0.35">
      <c r="A795" s="5">
        <v>792</v>
      </c>
    </row>
    <row r="796" spans="1:1" x14ac:dyDescent="0.35">
      <c r="A796" s="5">
        <v>793</v>
      </c>
    </row>
    <row r="797" spans="1:1" x14ac:dyDescent="0.35">
      <c r="A797" s="5">
        <v>794</v>
      </c>
    </row>
    <row r="798" spans="1:1" x14ac:dyDescent="0.35">
      <c r="A798" s="5">
        <v>795</v>
      </c>
    </row>
    <row r="799" spans="1:1" x14ac:dyDescent="0.35">
      <c r="A799" s="5">
        <v>796</v>
      </c>
    </row>
    <row r="800" spans="1:1" x14ac:dyDescent="0.35">
      <c r="A800" s="5">
        <v>797</v>
      </c>
    </row>
    <row r="801" spans="1:1" x14ac:dyDescent="0.35">
      <c r="A801" s="5">
        <v>798</v>
      </c>
    </row>
    <row r="802" spans="1:1" x14ac:dyDescent="0.35">
      <c r="A802" s="5">
        <v>799</v>
      </c>
    </row>
    <row r="803" spans="1:1" x14ac:dyDescent="0.35">
      <c r="A803" s="5">
        <v>800</v>
      </c>
    </row>
    <row r="804" spans="1:1" x14ac:dyDescent="0.35">
      <c r="A804" s="5">
        <v>801</v>
      </c>
    </row>
    <row r="805" spans="1:1" x14ac:dyDescent="0.35">
      <c r="A805" s="5">
        <v>802</v>
      </c>
    </row>
    <row r="806" spans="1:1" x14ac:dyDescent="0.35">
      <c r="A806" s="5">
        <v>803</v>
      </c>
    </row>
    <row r="807" spans="1:1" x14ac:dyDescent="0.35">
      <c r="A807" s="5">
        <v>804</v>
      </c>
    </row>
    <row r="808" spans="1:1" x14ac:dyDescent="0.35">
      <c r="A808" s="5">
        <v>805</v>
      </c>
    </row>
    <row r="809" spans="1:1" x14ac:dyDescent="0.35">
      <c r="A809" s="5">
        <v>806</v>
      </c>
    </row>
    <row r="810" spans="1:1" x14ac:dyDescent="0.35">
      <c r="A810" s="5">
        <v>807</v>
      </c>
    </row>
    <row r="811" spans="1:1" x14ac:dyDescent="0.35">
      <c r="A811" s="5">
        <v>808</v>
      </c>
    </row>
    <row r="812" spans="1:1" x14ac:dyDescent="0.35">
      <c r="A812" s="5">
        <v>809</v>
      </c>
    </row>
    <row r="813" spans="1:1" x14ac:dyDescent="0.35">
      <c r="A813" s="5">
        <v>810</v>
      </c>
    </row>
    <row r="814" spans="1:1" x14ac:dyDescent="0.35">
      <c r="A814" s="5">
        <v>811</v>
      </c>
    </row>
    <row r="815" spans="1:1" x14ac:dyDescent="0.35">
      <c r="A815" s="5">
        <v>812</v>
      </c>
    </row>
    <row r="816" spans="1:1" x14ac:dyDescent="0.35">
      <c r="A816" s="5">
        <v>813</v>
      </c>
    </row>
    <row r="817" spans="1:1" x14ac:dyDescent="0.35">
      <c r="A817" s="5">
        <v>814</v>
      </c>
    </row>
    <row r="818" spans="1:1" x14ac:dyDescent="0.35">
      <c r="A818" s="5">
        <v>815</v>
      </c>
    </row>
    <row r="819" spans="1:1" x14ac:dyDescent="0.35">
      <c r="A819" s="5">
        <v>816</v>
      </c>
    </row>
    <row r="820" spans="1:1" x14ac:dyDescent="0.35">
      <c r="A820" s="5">
        <v>817</v>
      </c>
    </row>
    <row r="821" spans="1:1" x14ac:dyDescent="0.35">
      <c r="A821" s="5">
        <v>818</v>
      </c>
    </row>
    <row r="822" spans="1:1" x14ac:dyDescent="0.35">
      <c r="A822" s="5">
        <v>819</v>
      </c>
    </row>
    <row r="823" spans="1:1" x14ac:dyDescent="0.35">
      <c r="A823" s="5">
        <v>820</v>
      </c>
    </row>
    <row r="824" spans="1:1" x14ac:dyDescent="0.35">
      <c r="A824" s="5">
        <v>821</v>
      </c>
    </row>
    <row r="825" spans="1:1" x14ac:dyDescent="0.35">
      <c r="A825" s="5">
        <v>822</v>
      </c>
    </row>
    <row r="826" spans="1:1" x14ac:dyDescent="0.35">
      <c r="A826" s="5">
        <v>823</v>
      </c>
    </row>
    <row r="827" spans="1:1" x14ac:dyDescent="0.35">
      <c r="A827" s="5">
        <v>824</v>
      </c>
    </row>
    <row r="828" spans="1:1" x14ac:dyDescent="0.35">
      <c r="A828" s="5">
        <v>825</v>
      </c>
    </row>
    <row r="829" spans="1:1" x14ac:dyDescent="0.35">
      <c r="A829" s="5">
        <v>826</v>
      </c>
    </row>
    <row r="830" spans="1:1" x14ac:dyDescent="0.35">
      <c r="A830" s="5">
        <v>827</v>
      </c>
    </row>
    <row r="831" spans="1:1" x14ac:dyDescent="0.35">
      <c r="A831" s="5">
        <v>828</v>
      </c>
    </row>
    <row r="832" spans="1:1" x14ac:dyDescent="0.35">
      <c r="A832" s="5">
        <v>829</v>
      </c>
    </row>
    <row r="833" spans="1:1" x14ac:dyDescent="0.35">
      <c r="A833" s="5">
        <v>830</v>
      </c>
    </row>
    <row r="834" spans="1:1" x14ac:dyDescent="0.35">
      <c r="A834" s="5">
        <v>831</v>
      </c>
    </row>
    <row r="835" spans="1:1" x14ac:dyDescent="0.35">
      <c r="A835" s="5">
        <v>832</v>
      </c>
    </row>
    <row r="836" spans="1:1" x14ac:dyDescent="0.35">
      <c r="A836" s="5">
        <v>833</v>
      </c>
    </row>
    <row r="837" spans="1:1" x14ac:dyDescent="0.35">
      <c r="A837" s="5">
        <v>834</v>
      </c>
    </row>
    <row r="838" spans="1:1" x14ac:dyDescent="0.35">
      <c r="A838" s="5">
        <v>835</v>
      </c>
    </row>
    <row r="839" spans="1:1" x14ac:dyDescent="0.35">
      <c r="A839" s="5">
        <v>836</v>
      </c>
    </row>
    <row r="840" spans="1:1" x14ac:dyDescent="0.35">
      <c r="A840" s="5">
        <v>837</v>
      </c>
    </row>
    <row r="841" spans="1:1" x14ac:dyDescent="0.35">
      <c r="A841" s="5">
        <v>838</v>
      </c>
    </row>
    <row r="842" spans="1:1" x14ac:dyDescent="0.35">
      <c r="A842" s="5">
        <v>839</v>
      </c>
    </row>
    <row r="843" spans="1:1" x14ac:dyDescent="0.35">
      <c r="A843" s="5">
        <v>840</v>
      </c>
    </row>
    <row r="844" spans="1:1" x14ac:dyDescent="0.35">
      <c r="A844" s="5">
        <v>841</v>
      </c>
    </row>
    <row r="845" spans="1:1" x14ac:dyDescent="0.35">
      <c r="A845" s="5">
        <v>842</v>
      </c>
    </row>
    <row r="846" spans="1:1" x14ac:dyDescent="0.35">
      <c r="A846" s="5">
        <v>843</v>
      </c>
    </row>
    <row r="847" spans="1:1" x14ac:dyDescent="0.35">
      <c r="A847" s="5">
        <v>844</v>
      </c>
    </row>
    <row r="848" spans="1:1" x14ac:dyDescent="0.35">
      <c r="A848" s="5">
        <v>845</v>
      </c>
    </row>
    <row r="849" spans="1:1" x14ac:dyDescent="0.35">
      <c r="A849" s="5">
        <v>846</v>
      </c>
    </row>
    <row r="850" spans="1:1" x14ac:dyDescent="0.35">
      <c r="A850" s="5">
        <v>847</v>
      </c>
    </row>
    <row r="851" spans="1:1" x14ac:dyDescent="0.35">
      <c r="A851" s="5">
        <v>848</v>
      </c>
    </row>
    <row r="852" spans="1:1" x14ac:dyDescent="0.35">
      <c r="A852" s="5">
        <v>849</v>
      </c>
    </row>
    <row r="853" spans="1:1" x14ac:dyDescent="0.35">
      <c r="A853" s="5">
        <v>850</v>
      </c>
    </row>
    <row r="854" spans="1:1" x14ac:dyDescent="0.35">
      <c r="A854" s="5">
        <v>851</v>
      </c>
    </row>
    <row r="855" spans="1:1" x14ac:dyDescent="0.35">
      <c r="A855" s="5">
        <v>852</v>
      </c>
    </row>
    <row r="856" spans="1:1" x14ac:dyDescent="0.35">
      <c r="A856" s="5">
        <v>853</v>
      </c>
    </row>
    <row r="857" spans="1:1" x14ac:dyDescent="0.35">
      <c r="A857" s="5">
        <v>854</v>
      </c>
    </row>
    <row r="858" spans="1:1" x14ac:dyDescent="0.35">
      <c r="A858" s="5">
        <v>855</v>
      </c>
    </row>
    <row r="859" spans="1:1" x14ac:dyDescent="0.35">
      <c r="A859" s="5">
        <v>856</v>
      </c>
    </row>
    <row r="860" spans="1:1" x14ac:dyDescent="0.35">
      <c r="A860" s="5">
        <v>857</v>
      </c>
    </row>
    <row r="861" spans="1:1" x14ac:dyDescent="0.35">
      <c r="A861" s="5">
        <v>858</v>
      </c>
    </row>
    <row r="862" spans="1:1" x14ac:dyDescent="0.35">
      <c r="A862" s="5">
        <v>859</v>
      </c>
    </row>
    <row r="863" spans="1:1" x14ac:dyDescent="0.35">
      <c r="A863" s="5">
        <v>860</v>
      </c>
    </row>
    <row r="864" spans="1:1" x14ac:dyDescent="0.35">
      <c r="A864" s="5">
        <v>861</v>
      </c>
    </row>
    <row r="865" spans="1:1" x14ac:dyDescent="0.35">
      <c r="A865" s="5">
        <v>862</v>
      </c>
    </row>
    <row r="866" spans="1:1" x14ac:dyDescent="0.35">
      <c r="A866" s="5">
        <v>863</v>
      </c>
    </row>
    <row r="867" spans="1:1" x14ac:dyDescent="0.35">
      <c r="A867" s="5">
        <v>864</v>
      </c>
    </row>
    <row r="868" spans="1:1" x14ac:dyDescent="0.35">
      <c r="A868" s="5">
        <v>865</v>
      </c>
    </row>
    <row r="869" spans="1:1" x14ac:dyDescent="0.35">
      <c r="A869" s="5">
        <v>866</v>
      </c>
    </row>
    <row r="870" spans="1:1" x14ac:dyDescent="0.35">
      <c r="A870" s="5">
        <v>867</v>
      </c>
    </row>
    <row r="871" spans="1:1" x14ac:dyDescent="0.35">
      <c r="A871" s="5">
        <v>868</v>
      </c>
    </row>
    <row r="872" spans="1:1" x14ac:dyDescent="0.35">
      <c r="A872" s="5">
        <v>869</v>
      </c>
    </row>
    <row r="873" spans="1:1" x14ac:dyDescent="0.35">
      <c r="A873" s="5">
        <v>870</v>
      </c>
    </row>
    <row r="874" spans="1:1" x14ac:dyDescent="0.35">
      <c r="A874" s="5">
        <v>871</v>
      </c>
    </row>
    <row r="875" spans="1:1" x14ac:dyDescent="0.35">
      <c r="A875" s="5">
        <v>872</v>
      </c>
    </row>
    <row r="876" spans="1:1" x14ac:dyDescent="0.35">
      <c r="A876" s="5">
        <v>873</v>
      </c>
    </row>
    <row r="877" spans="1:1" x14ac:dyDescent="0.35">
      <c r="A877" s="5">
        <v>874</v>
      </c>
    </row>
    <row r="878" spans="1:1" x14ac:dyDescent="0.35">
      <c r="A878" s="5">
        <v>875</v>
      </c>
    </row>
    <row r="879" spans="1:1" x14ac:dyDescent="0.35">
      <c r="A879" s="5">
        <v>876</v>
      </c>
    </row>
    <row r="880" spans="1:1" x14ac:dyDescent="0.35">
      <c r="A880" s="5">
        <v>877</v>
      </c>
    </row>
    <row r="881" spans="1:1" x14ac:dyDescent="0.35">
      <c r="A881" s="5">
        <v>878</v>
      </c>
    </row>
    <row r="882" spans="1:1" x14ac:dyDescent="0.35">
      <c r="A882" s="5">
        <v>879</v>
      </c>
    </row>
    <row r="883" spans="1:1" x14ac:dyDescent="0.35">
      <c r="A883" s="5">
        <v>880</v>
      </c>
    </row>
    <row r="884" spans="1:1" x14ac:dyDescent="0.35">
      <c r="A884" s="5">
        <v>881</v>
      </c>
    </row>
    <row r="885" spans="1:1" x14ac:dyDescent="0.35">
      <c r="A885" s="5">
        <v>882</v>
      </c>
    </row>
    <row r="886" spans="1:1" x14ac:dyDescent="0.35">
      <c r="A886" s="5">
        <v>883</v>
      </c>
    </row>
    <row r="887" spans="1:1" x14ac:dyDescent="0.35">
      <c r="A887" s="5">
        <v>884</v>
      </c>
    </row>
    <row r="888" spans="1:1" x14ac:dyDescent="0.35">
      <c r="A888" s="5">
        <v>885</v>
      </c>
    </row>
    <row r="889" spans="1:1" x14ac:dyDescent="0.35">
      <c r="A889" s="5">
        <v>886</v>
      </c>
    </row>
    <row r="890" spans="1:1" x14ac:dyDescent="0.35">
      <c r="A890" s="5">
        <v>887</v>
      </c>
    </row>
    <row r="891" spans="1:1" x14ac:dyDescent="0.35">
      <c r="A891" s="5">
        <v>888</v>
      </c>
    </row>
    <row r="892" spans="1:1" x14ac:dyDescent="0.35">
      <c r="A892" s="5">
        <v>889</v>
      </c>
    </row>
    <row r="893" spans="1:1" x14ac:dyDescent="0.35">
      <c r="A893" s="5">
        <v>890</v>
      </c>
    </row>
    <row r="894" spans="1:1" x14ac:dyDescent="0.35">
      <c r="A894" s="5">
        <v>891</v>
      </c>
    </row>
    <row r="895" spans="1:1" x14ac:dyDescent="0.35">
      <c r="A895" s="5">
        <v>892</v>
      </c>
    </row>
    <row r="896" spans="1:1" x14ac:dyDescent="0.35">
      <c r="A896" s="5">
        <v>893</v>
      </c>
    </row>
    <row r="897" spans="1:1" x14ac:dyDescent="0.35">
      <c r="A897" s="5">
        <v>894</v>
      </c>
    </row>
    <row r="898" spans="1:1" x14ac:dyDescent="0.35">
      <c r="A898" s="5">
        <v>895</v>
      </c>
    </row>
    <row r="899" spans="1:1" x14ac:dyDescent="0.35">
      <c r="A899" s="5">
        <v>896</v>
      </c>
    </row>
    <row r="900" spans="1:1" x14ac:dyDescent="0.35">
      <c r="A900" s="5">
        <v>897</v>
      </c>
    </row>
    <row r="901" spans="1:1" x14ac:dyDescent="0.35">
      <c r="A901" s="5">
        <v>898</v>
      </c>
    </row>
    <row r="902" spans="1:1" x14ac:dyDescent="0.35">
      <c r="A902" s="5">
        <v>899</v>
      </c>
    </row>
    <row r="903" spans="1:1" x14ac:dyDescent="0.35">
      <c r="A903" s="5">
        <v>900</v>
      </c>
    </row>
    <row r="904" spans="1:1" x14ac:dyDescent="0.35">
      <c r="A904" s="5">
        <v>901</v>
      </c>
    </row>
    <row r="905" spans="1:1" x14ac:dyDescent="0.35">
      <c r="A905" s="5">
        <v>902</v>
      </c>
    </row>
    <row r="906" spans="1:1" x14ac:dyDescent="0.35">
      <c r="A906" s="5">
        <v>903</v>
      </c>
    </row>
    <row r="907" spans="1:1" x14ac:dyDescent="0.35">
      <c r="A907" s="5">
        <v>904</v>
      </c>
    </row>
    <row r="908" spans="1:1" x14ac:dyDescent="0.35">
      <c r="A908" s="5">
        <v>905</v>
      </c>
    </row>
    <row r="909" spans="1:1" x14ac:dyDescent="0.35">
      <c r="A909" s="5">
        <v>906</v>
      </c>
    </row>
    <row r="910" spans="1:1" x14ac:dyDescent="0.35">
      <c r="A910" s="5">
        <v>907</v>
      </c>
    </row>
    <row r="911" spans="1:1" x14ac:dyDescent="0.35">
      <c r="A911" s="5">
        <v>908</v>
      </c>
    </row>
    <row r="912" spans="1:1" x14ac:dyDescent="0.35">
      <c r="A912" s="5">
        <v>909</v>
      </c>
    </row>
    <row r="913" spans="1:1" x14ac:dyDescent="0.35">
      <c r="A913" s="5">
        <v>910</v>
      </c>
    </row>
    <row r="914" spans="1:1" x14ac:dyDescent="0.35">
      <c r="A914" s="5">
        <v>911</v>
      </c>
    </row>
    <row r="915" spans="1:1" x14ac:dyDescent="0.35">
      <c r="A915" s="5">
        <v>912</v>
      </c>
    </row>
    <row r="916" spans="1:1" x14ac:dyDescent="0.35">
      <c r="A916" s="5">
        <v>913</v>
      </c>
    </row>
    <row r="917" spans="1:1" x14ac:dyDescent="0.35">
      <c r="A917" s="5">
        <v>914</v>
      </c>
    </row>
    <row r="918" spans="1:1" x14ac:dyDescent="0.35">
      <c r="A918" s="5">
        <v>915</v>
      </c>
    </row>
    <row r="919" spans="1:1" x14ac:dyDescent="0.35">
      <c r="A919" s="5">
        <v>916</v>
      </c>
    </row>
    <row r="920" spans="1:1" x14ac:dyDescent="0.35">
      <c r="A920" s="5">
        <v>917</v>
      </c>
    </row>
    <row r="921" spans="1:1" x14ac:dyDescent="0.35">
      <c r="A921" s="5">
        <v>918</v>
      </c>
    </row>
    <row r="922" spans="1:1" x14ac:dyDescent="0.35">
      <c r="A922" s="5">
        <v>919</v>
      </c>
    </row>
    <row r="923" spans="1:1" x14ac:dyDescent="0.35">
      <c r="A923" s="5">
        <v>920</v>
      </c>
    </row>
    <row r="924" spans="1:1" x14ac:dyDescent="0.35">
      <c r="A924" s="5">
        <v>921</v>
      </c>
    </row>
    <row r="925" spans="1:1" x14ac:dyDescent="0.35">
      <c r="A925" s="5">
        <v>922</v>
      </c>
    </row>
    <row r="926" spans="1:1" x14ac:dyDescent="0.35">
      <c r="A926" s="5">
        <v>923</v>
      </c>
    </row>
    <row r="927" spans="1:1" x14ac:dyDescent="0.35">
      <c r="A927" s="5">
        <v>924</v>
      </c>
    </row>
    <row r="928" spans="1:1" x14ac:dyDescent="0.35">
      <c r="A928" s="5">
        <v>925</v>
      </c>
    </row>
    <row r="929" spans="1:1" x14ac:dyDescent="0.35">
      <c r="A929" s="5">
        <v>926</v>
      </c>
    </row>
    <row r="930" spans="1:1" x14ac:dyDescent="0.35">
      <c r="A930" s="5">
        <v>927</v>
      </c>
    </row>
    <row r="931" spans="1:1" x14ac:dyDescent="0.35">
      <c r="A931" s="5">
        <v>928</v>
      </c>
    </row>
    <row r="932" spans="1:1" x14ac:dyDescent="0.35">
      <c r="A932" s="5">
        <v>929</v>
      </c>
    </row>
    <row r="933" spans="1:1" x14ac:dyDescent="0.35">
      <c r="A933" s="5">
        <v>930</v>
      </c>
    </row>
    <row r="934" spans="1:1" x14ac:dyDescent="0.35">
      <c r="A934" s="5">
        <v>931</v>
      </c>
    </row>
    <row r="935" spans="1:1" x14ac:dyDescent="0.35">
      <c r="A935" s="5">
        <v>932</v>
      </c>
    </row>
    <row r="936" spans="1:1" x14ac:dyDescent="0.35">
      <c r="A936" s="5">
        <v>933</v>
      </c>
    </row>
    <row r="937" spans="1:1" x14ac:dyDescent="0.35">
      <c r="A937" s="5">
        <v>934</v>
      </c>
    </row>
    <row r="938" spans="1:1" x14ac:dyDescent="0.35">
      <c r="A938" s="5">
        <v>935</v>
      </c>
    </row>
    <row r="939" spans="1:1" x14ac:dyDescent="0.35">
      <c r="A939" s="5">
        <v>936</v>
      </c>
    </row>
    <row r="940" spans="1:1" x14ac:dyDescent="0.35">
      <c r="A940" s="5">
        <v>937</v>
      </c>
    </row>
    <row r="941" spans="1:1" x14ac:dyDescent="0.35">
      <c r="A941" s="5">
        <v>938</v>
      </c>
    </row>
    <row r="942" spans="1:1" x14ac:dyDescent="0.35">
      <c r="A942" s="5">
        <v>939</v>
      </c>
    </row>
    <row r="943" spans="1:1" x14ac:dyDescent="0.35">
      <c r="A943" s="5">
        <v>940</v>
      </c>
    </row>
    <row r="944" spans="1:1" x14ac:dyDescent="0.35">
      <c r="A944" s="5">
        <v>941</v>
      </c>
    </row>
    <row r="945" spans="1:1" x14ac:dyDescent="0.35">
      <c r="A945" s="5">
        <v>942</v>
      </c>
    </row>
    <row r="946" spans="1:1" x14ac:dyDescent="0.35">
      <c r="A946" s="5">
        <v>943</v>
      </c>
    </row>
    <row r="947" spans="1:1" x14ac:dyDescent="0.35">
      <c r="A947" s="5">
        <v>944</v>
      </c>
    </row>
    <row r="948" spans="1:1" x14ac:dyDescent="0.35">
      <c r="A948" s="5">
        <v>945</v>
      </c>
    </row>
    <row r="949" spans="1:1" x14ac:dyDescent="0.35">
      <c r="A949" s="5">
        <v>946</v>
      </c>
    </row>
    <row r="950" spans="1:1" x14ac:dyDescent="0.35">
      <c r="A950" s="5">
        <v>947</v>
      </c>
    </row>
    <row r="951" spans="1:1" x14ac:dyDescent="0.35">
      <c r="A951" s="5">
        <v>948</v>
      </c>
    </row>
    <row r="952" spans="1:1" x14ac:dyDescent="0.35">
      <c r="A952" s="5">
        <v>949</v>
      </c>
    </row>
    <row r="953" spans="1:1" x14ac:dyDescent="0.35">
      <c r="A953" s="5">
        <v>950</v>
      </c>
    </row>
    <row r="954" spans="1:1" x14ac:dyDescent="0.35">
      <c r="A954" s="5">
        <v>951</v>
      </c>
    </row>
    <row r="955" spans="1:1" x14ac:dyDescent="0.35">
      <c r="A955" s="5">
        <v>952</v>
      </c>
    </row>
    <row r="956" spans="1:1" x14ac:dyDescent="0.35">
      <c r="A956" s="5">
        <v>953</v>
      </c>
    </row>
    <row r="957" spans="1:1" x14ac:dyDescent="0.35">
      <c r="A957" s="5">
        <v>954</v>
      </c>
    </row>
    <row r="958" spans="1:1" x14ac:dyDescent="0.35">
      <c r="A958" s="5">
        <v>955</v>
      </c>
    </row>
    <row r="959" spans="1:1" x14ac:dyDescent="0.35">
      <c r="A959" s="5">
        <v>956</v>
      </c>
    </row>
    <row r="960" spans="1:1" x14ac:dyDescent="0.35">
      <c r="A960" s="5">
        <v>957</v>
      </c>
    </row>
    <row r="961" spans="1:1" x14ac:dyDescent="0.35">
      <c r="A961" s="5">
        <v>958</v>
      </c>
    </row>
    <row r="962" spans="1:1" x14ac:dyDescent="0.35">
      <c r="A962" s="5">
        <v>959</v>
      </c>
    </row>
    <row r="963" spans="1:1" x14ac:dyDescent="0.35">
      <c r="A963" s="5">
        <v>960</v>
      </c>
    </row>
    <row r="964" spans="1:1" x14ac:dyDescent="0.35">
      <c r="A964" s="5">
        <v>961</v>
      </c>
    </row>
    <row r="965" spans="1:1" x14ac:dyDescent="0.35">
      <c r="A965" s="5">
        <v>962</v>
      </c>
    </row>
    <row r="966" spans="1:1" x14ac:dyDescent="0.35">
      <c r="A966" s="5">
        <v>963</v>
      </c>
    </row>
    <row r="967" spans="1:1" x14ac:dyDescent="0.35">
      <c r="A967" s="5">
        <v>964</v>
      </c>
    </row>
    <row r="968" spans="1:1" x14ac:dyDescent="0.35">
      <c r="A968" s="5">
        <v>965</v>
      </c>
    </row>
    <row r="969" spans="1:1" x14ac:dyDescent="0.35">
      <c r="A969" s="5">
        <v>966</v>
      </c>
    </row>
    <row r="970" spans="1:1" x14ac:dyDescent="0.35">
      <c r="A970" s="5">
        <v>967</v>
      </c>
    </row>
    <row r="971" spans="1:1" x14ac:dyDescent="0.35">
      <c r="A971" s="5">
        <v>968</v>
      </c>
    </row>
    <row r="972" spans="1:1" x14ac:dyDescent="0.35">
      <c r="A972" s="5">
        <v>969</v>
      </c>
    </row>
    <row r="973" spans="1:1" x14ac:dyDescent="0.35">
      <c r="A973" s="5">
        <v>970</v>
      </c>
    </row>
    <row r="974" spans="1:1" x14ac:dyDescent="0.35">
      <c r="A974" s="5">
        <v>971</v>
      </c>
    </row>
    <row r="975" spans="1:1" x14ac:dyDescent="0.35">
      <c r="A975" s="5">
        <v>972</v>
      </c>
    </row>
    <row r="976" spans="1:1" x14ac:dyDescent="0.35">
      <c r="A976" s="5">
        <v>973</v>
      </c>
    </row>
    <row r="977" spans="1:1" x14ac:dyDescent="0.35">
      <c r="A977" s="5">
        <v>974</v>
      </c>
    </row>
    <row r="978" spans="1:1" x14ac:dyDescent="0.35">
      <c r="A978" s="5">
        <v>975</v>
      </c>
    </row>
    <row r="979" spans="1:1" x14ac:dyDescent="0.35">
      <c r="A979" s="5">
        <v>976</v>
      </c>
    </row>
    <row r="980" spans="1:1" x14ac:dyDescent="0.35">
      <c r="A980" s="5">
        <v>977</v>
      </c>
    </row>
    <row r="981" spans="1:1" x14ac:dyDescent="0.35">
      <c r="A981" s="5">
        <v>978</v>
      </c>
    </row>
    <row r="982" spans="1:1" x14ac:dyDescent="0.35">
      <c r="A982" s="5">
        <v>979</v>
      </c>
    </row>
    <row r="983" spans="1:1" x14ac:dyDescent="0.35">
      <c r="A983" s="5">
        <v>980</v>
      </c>
    </row>
    <row r="984" spans="1:1" x14ac:dyDescent="0.35">
      <c r="A984" s="5">
        <v>981</v>
      </c>
    </row>
    <row r="985" spans="1:1" x14ac:dyDescent="0.35">
      <c r="A985" s="5">
        <v>982</v>
      </c>
    </row>
    <row r="986" spans="1:1" x14ac:dyDescent="0.35">
      <c r="A986" s="5">
        <v>983</v>
      </c>
    </row>
    <row r="987" spans="1:1" x14ac:dyDescent="0.35">
      <c r="A987" s="5">
        <v>984</v>
      </c>
    </row>
    <row r="988" spans="1:1" x14ac:dyDescent="0.35">
      <c r="A988" s="5">
        <v>985</v>
      </c>
    </row>
    <row r="989" spans="1:1" x14ac:dyDescent="0.35">
      <c r="A989" s="5">
        <v>986</v>
      </c>
    </row>
    <row r="990" spans="1:1" x14ac:dyDescent="0.35">
      <c r="A990" s="5">
        <v>987</v>
      </c>
    </row>
    <row r="991" spans="1:1" x14ac:dyDescent="0.35">
      <c r="A991" s="5">
        <v>988</v>
      </c>
    </row>
    <row r="992" spans="1:1" x14ac:dyDescent="0.35">
      <c r="A992" s="5">
        <v>989</v>
      </c>
    </row>
    <row r="993" spans="1:1" x14ac:dyDescent="0.35">
      <c r="A993" s="5">
        <v>990</v>
      </c>
    </row>
    <row r="994" spans="1:1" x14ac:dyDescent="0.35">
      <c r="A994" s="5">
        <v>991</v>
      </c>
    </row>
    <row r="995" spans="1:1" x14ac:dyDescent="0.35">
      <c r="A995" s="5">
        <v>992</v>
      </c>
    </row>
    <row r="996" spans="1:1" x14ac:dyDescent="0.35">
      <c r="A996" s="5">
        <v>993</v>
      </c>
    </row>
    <row r="997" spans="1:1" x14ac:dyDescent="0.35">
      <c r="A997" s="5">
        <v>994</v>
      </c>
    </row>
    <row r="998" spans="1:1" x14ac:dyDescent="0.35">
      <c r="A998" s="5">
        <v>995</v>
      </c>
    </row>
    <row r="999" spans="1:1" x14ac:dyDescent="0.35">
      <c r="A999" s="5">
        <v>996</v>
      </c>
    </row>
    <row r="1000" spans="1:1" x14ac:dyDescent="0.35">
      <c r="A1000" s="5">
        <v>997</v>
      </c>
    </row>
    <row r="1001" spans="1:1" x14ac:dyDescent="0.35">
      <c r="A1001" s="5">
        <v>998</v>
      </c>
    </row>
    <row r="1002" spans="1:1" x14ac:dyDescent="0.35">
      <c r="A1002" s="5">
        <v>999</v>
      </c>
    </row>
    <row r="1003" spans="1:1" x14ac:dyDescent="0.35">
      <c r="A1003" s="5">
        <v>1000</v>
      </c>
    </row>
    <row r="1004" spans="1:1" x14ac:dyDescent="0.35">
      <c r="A1004" s="5" t="s">
        <v>32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69C4C9-B2CF-4AAB-BDD7-95DD304DD49E}">
  <dimension ref="A3:B103"/>
  <sheetViews>
    <sheetView topLeftCell="A78" workbookViewId="0">
      <selection activeCell="G104" sqref="G104"/>
    </sheetView>
  </sheetViews>
  <sheetFormatPr defaultRowHeight="14.5" x14ac:dyDescent="0.35"/>
  <cols>
    <col min="1" max="1" width="14.3984375" bestFit="1" customWidth="1"/>
    <col min="2" max="2" width="27.19921875" bestFit="1" customWidth="1"/>
  </cols>
  <sheetData>
    <row r="3" spans="1:2" x14ac:dyDescent="0.35">
      <c r="A3" t="s">
        <v>29</v>
      </c>
    </row>
    <row r="4" spans="1:2" x14ac:dyDescent="0.35">
      <c r="A4" s="2">
        <v>275230</v>
      </c>
    </row>
    <row r="6" spans="1:2" x14ac:dyDescent="0.35">
      <c r="A6" t="s">
        <v>30</v>
      </c>
    </row>
    <row r="7" spans="1:2" x14ac:dyDescent="0.35">
      <c r="A7">
        <f>COUNT(Sheet3!A4:A1003)</f>
        <v>1000</v>
      </c>
    </row>
    <row r="10" spans="1:2" x14ac:dyDescent="0.35">
      <c r="A10" t="s">
        <v>33</v>
      </c>
    </row>
    <row r="11" spans="1:2" x14ac:dyDescent="0.35">
      <c r="A11" s="2">
        <f>GETPIVOTDATA("transaction_amount",$A$3)/A7</f>
        <v>275.23</v>
      </c>
    </row>
    <row r="15" spans="1:2" x14ac:dyDescent="0.35">
      <c r="A15" s="4" t="s">
        <v>31</v>
      </c>
      <c r="B15" t="s">
        <v>34</v>
      </c>
    </row>
    <row r="16" spans="1:2" x14ac:dyDescent="0.35">
      <c r="A16" s="5" t="s">
        <v>10</v>
      </c>
      <c r="B16" s="6">
        <v>1044</v>
      </c>
    </row>
    <row r="17" spans="1:2" x14ac:dyDescent="0.35">
      <c r="A17" s="5" t="s">
        <v>28</v>
      </c>
      <c r="B17" s="6">
        <v>1361</v>
      </c>
    </row>
    <row r="18" spans="1:2" x14ac:dyDescent="0.35">
      <c r="A18" s="5" t="s">
        <v>25</v>
      </c>
      <c r="B18" s="6">
        <v>1150</v>
      </c>
    </row>
    <row r="19" spans="1:2" x14ac:dyDescent="0.35">
      <c r="A19" s="5" t="s">
        <v>22</v>
      </c>
      <c r="B19" s="6">
        <v>1226</v>
      </c>
    </row>
    <row r="20" spans="1:2" x14ac:dyDescent="0.35">
      <c r="A20" s="5" t="s">
        <v>26</v>
      </c>
      <c r="B20" s="6">
        <v>1097</v>
      </c>
    </row>
    <row r="21" spans="1:2" x14ac:dyDescent="0.35">
      <c r="A21" s="5" t="s">
        <v>18</v>
      </c>
      <c r="B21" s="6">
        <v>1278</v>
      </c>
    </row>
    <row r="22" spans="1:2" x14ac:dyDescent="0.35">
      <c r="A22" s="5" t="s">
        <v>15</v>
      </c>
      <c r="B22" s="6">
        <v>1006</v>
      </c>
    </row>
    <row r="23" spans="1:2" x14ac:dyDescent="0.35">
      <c r="A23" s="5" t="s">
        <v>32</v>
      </c>
      <c r="B23" s="6">
        <v>8162</v>
      </c>
    </row>
    <row r="28" spans="1:2" x14ac:dyDescent="0.35">
      <c r="A28" s="4" t="s">
        <v>31</v>
      </c>
      <c r="B28" t="s">
        <v>34</v>
      </c>
    </row>
    <row r="29" spans="1:2" x14ac:dyDescent="0.35">
      <c r="A29" s="5" t="s">
        <v>19</v>
      </c>
      <c r="B29" s="6">
        <v>2639</v>
      </c>
    </row>
    <row r="30" spans="1:2" x14ac:dyDescent="0.35">
      <c r="A30" s="5" t="s">
        <v>11</v>
      </c>
      <c r="B30" s="6">
        <v>5523</v>
      </c>
    </row>
    <row r="31" spans="1:2" x14ac:dyDescent="0.35">
      <c r="A31" s="5" t="s">
        <v>32</v>
      </c>
      <c r="B31" s="6">
        <v>8162</v>
      </c>
    </row>
    <row r="41" spans="1:2" x14ac:dyDescent="0.35">
      <c r="A41" s="4" t="s">
        <v>31</v>
      </c>
      <c r="B41" t="s">
        <v>29</v>
      </c>
    </row>
    <row r="42" spans="1:2" x14ac:dyDescent="0.35">
      <c r="A42" s="5" t="s">
        <v>19</v>
      </c>
      <c r="B42" s="2">
        <v>86390</v>
      </c>
    </row>
    <row r="43" spans="1:2" x14ac:dyDescent="0.35">
      <c r="A43" s="5" t="s">
        <v>11</v>
      </c>
      <c r="B43" s="2">
        <v>188840</v>
      </c>
    </row>
    <row r="44" spans="1:2" x14ac:dyDescent="0.35">
      <c r="A44" s="5" t="s">
        <v>32</v>
      </c>
      <c r="B44" s="2">
        <v>275230</v>
      </c>
    </row>
    <row r="49" spans="1:2" x14ac:dyDescent="0.35">
      <c r="A49" s="4" t="s">
        <v>31</v>
      </c>
      <c r="B49" t="s">
        <v>29</v>
      </c>
    </row>
    <row r="50" spans="1:2" x14ac:dyDescent="0.35">
      <c r="A50" s="5" t="s">
        <v>10</v>
      </c>
      <c r="B50" s="2">
        <v>20880</v>
      </c>
    </row>
    <row r="51" spans="1:2" x14ac:dyDescent="0.35">
      <c r="A51" s="5" t="s">
        <v>28</v>
      </c>
      <c r="B51" s="2">
        <v>54440</v>
      </c>
    </row>
    <row r="52" spans="1:2" x14ac:dyDescent="0.35">
      <c r="A52" s="5" t="s">
        <v>25</v>
      </c>
      <c r="B52" s="2">
        <v>57500</v>
      </c>
    </row>
    <row r="53" spans="1:2" x14ac:dyDescent="0.35">
      <c r="A53" s="5" t="s">
        <v>22</v>
      </c>
      <c r="B53" s="2">
        <v>24520</v>
      </c>
    </row>
    <row r="54" spans="1:2" x14ac:dyDescent="0.35">
      <c r="A54" s="5" t="s">
        <v>26</v>
      </c>
      <c r="B54" s="2">
        <v>65820</v>
      </c>
    </row>
    <row r="55" spans="1:2" x14ac:dyDescent="0.35">
      <c r="A55" s="5" t="s">
        <v>18</v>
      </c>
      <c r="B55" s="2">
        <v>31950</v>
      </c>
    </row>
    <row r="56" spans="1:2" x14ac:dyDescent="0.35">
      <c r="A56" s="5" t="s">
        <v>15</v>
      </c>
      <c r="B56" s="2">
        <v>20120</v>
      </c>
    </row>
    <row r="57" spans="1:2" x14ac:dyDescent="0.35">
      <c r="A57" s="5" t="s">
        <v>32</v>
      </c>
      <c r="B57" s="2">
        <v>275230</v>
      </c>
    </row>
    <row r="64" spans="1:2" x14ac:dyDescent="0.35">
      <c r="A64" s="4" t="s">
        <v>31</v>
      </c>
      <c r="B64" t="s">
        <v>29</v>
      </c>
    </row>
    <row r="65" spans="1:2" x14ac:dyDescent="0.35">
      <c r="A65" s="5" t="s">
        <v>16</v>
      </c>
      <c r="B65" s="2">
        <v>132840</v>
      </c>
    </row>
    <row r="66" spans="1:2" x14ac:dyDescent="0.35">
      <c r="A66" s="5" t="s">
        <v>20</v>
      </c>
      <c r="B66" s="2">
        <v>110595</v>
      </c>
    </row>
    <row r="67" spans="1:2" x14ac:dyDescent="0.35">
      <c r="A67" s="5" t="s">
        <v>12</v>
      </c>
      <c r="B67" s="2">
        <v>31795</v>
      </c>
    </row>
    <row r="68" spans="1:2" x14ac:dyDescent="0.35">
      <c r="A68" s="5" t="s">
        <v>32</v>
      </c>
      <c r="B68" s="2">
        <v>275230</v>
      </c>
    </row>
    <row r="76" spans="1:2" x14ac:dyDescent="0.35">
      <c r="A76" s="4" t="s">
        <v>31</v>
      </c>
      <c r="B76" t="s">
        <v>34</v>
      </c>
    </row>
    <row r="77" spans="1:2" x14ac:dyDescent="0.35">
      <c r="A77" s="5" t="s">
        <v>17</v>
      </c>
      <c r="B77" s="6">
        <v>1714</v>
      </c>
    </row>
    <row r="78" spans="1:2" x14ac:dyDescent="0.35">
      <c r="A78" s="5" t="s">
        <v>21</v>
      </c>
      <c r="B78" s="6">
        <v>1540</v>
      </c>
    </row>
    <row r="79" spans="1:2" x14ac:dyDescent="0.35">
      <c r="A79" s="5" t="s">
        <v>27</v>
      </c>
      <c r="B79" s="6">
        <v>1575</v>
      </c>
    </row>
    <row r="80" spans="1:2" x14ac:dyDescent="0.35">
      <c r="A80" s="5" t="s">
        <v>24</v>
      </c>
      <c r="B80" s="6">
        <v>1574</v>
      </c>
    </row>
    <row r="81" spans="1:2" x14ac:dyDescent="0.35">
      <c r="A81" s="5" t="s">
        <v>14</v>
      </c>
      <c r="B81" s="6">
        <v>1759</v>
      </c>
    </row>
    <row r="82" spans="1:2" x14ac:dyDescent="0.35">
      <c r="A82" s="5" t="s">
        <v>32</v>
      </c>
      <c r="B82" s="6">
        <v>8162</v>
      </c>
    </row>
    <row r="88" spans="1:2" x14ac:dyDescent="0.35">
      <c r="A88" s="4" t="s">
        <v>31</v>
      </c>
      <c r="B88" t="s">
        <v>29</v>
      </c>
    </row>
    <row r="89" spans="1:2" x14ac:dyDescent="0.35">
      <c r="A89" s="5" t="s">
        <v>35</v>
      </c>
      <c r="B89" s="2">
        <v>195575</v>
      </c>
    </row>
    <row r="90" spans="1:2" x14ac:dyDescent="0.35">
      <c r="A90" s="7" t="s">
        <v>40</v>
      </c>
      <c r="B90" s="2">
        <v>17670</v>
      </c>
    </row>
    <row r="91" spans="1:2" x14ac:dyDescent="0.35">
      <c r="A91" s="7" t="s">
        <v>41</v>
      </c>
      <c r="B91" s="2">
        <v>26570</v>
      </c>
    </row>
    <row r="92" spans="1:2" x14ac:dyDescent="0.35">
      <c r="A92" s="7" t="s">
        <v>42</v>
      </c>
      <c r="B92" s="2">
        <v>17335</v>
      </c>
    </row>
    <row r="93" spans="1:2" x14ac:dyDescent="0.35">
      <c r="A93" s="7" t="s">
        <v>43</v>
      </c>
      <c r="B93" s="2">
        <v>19490</v>
      </c>
    </row>
    <row r="94" spans="1:2" x14ac:dyDescent="0.35">
      <c r="A94" s="7" t="s">
        <v>44</v>
      </c>
      <c r="B94" s="2">
        <v>22305</v>
      </c>
    </row>
    <row r="95" spans="1:2" x14ac:dyDescent="0.35">
      <c r="A95" s="7" t="s">
        <v>45</v>
      </c>
      <c r="B95" s="2">
        <v>18640</v>
      </c>
    </row>
    <row r="96" spans="1:2" x14ac:dyDescent="0.35">
      <c r="A96" s="7" t="s">
        <v>46</v>
      </c>
      <c r="B96" s="2">
        <v>27205</v>
      </c>
    </row>
    <row r="97" spans="1:2" x14ac:dyDescent="0.35">
      <c r="A97" s="7" t="s">
        <v>47</v>
      </c>
      <c r="B97" s="2">
        <v>22900</v>
      </c>
    </row>
    <row r="98" spans="1:2" x14ac:dyDescent="0.35">
      <c r="A98" s="7" t="s">
        <v>48</v>
      </c>
      <c r="B98" s="2">
        <v>23460</v>
      </c>
    </row>
    <row r="99" spans="1:2" x14ac:dyDescent="0.35">
      <c r="A99" s="5" t="s">
        <v>36</v>
      </c>
      <c r="B99" s="2">
        <v>79655</v>
      </c>
    </row>
    <row r="100" spans="1:2" x14ac:dyDescent="0.35">
      <c r="A100" s="7" t="s">
        <v>37</v>
      </c>
      <c r="B100" s="2">
        <v>28670</v>
      </c>
    </row>
    <row r="101" spans="1:2" x14ac:dyDescent="0.35">
      <c r="A101" s="7" t="s">
        <v>38</v>
      </c>
      <c r="B101" s="2">
        <v>25595</v>
      </c>
    </row>
    <row r="102" spans="1:2" x14ac:dyDescent="0.35">
      <c r="A102" s="7" t="s">
        <v>39</v>
      </c>
      <c r="B102" s="2">
        <v>25390</v>
      </c>
    </row>
    <row r="103" spans="1:2" x14ac:dyDescent="0.35">
      <c r="A103" s="5" t="s">
        <v>32</v>
      </c>
      <c r="B103" s="2">
        <v>275230</v>
      </c>
    </row>
  </sheetData>
  <pageMargins left="0.7" right="0.7" top="0.75" bottom="0.75" header="0.3" footer="0.3"/>
  <drawing r:id="rId9"/>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F5A61E-7393-4647-96A0-D2051E7D882F}">
  <dimension ref="A1:Q40"/>
  <sheetViews>
    <sheetView showGridLines="0" tabSelected="1" zoomScale="57" workbookViewId="0">
      <selection activeCell="V25" sqref="V25"/>
    </sheetView>
  </sheetViews>
  <sheetFormatPr defaultRowHeight="14.5" x14ac:dyDescent="0.35"/>
  <sheetData>
    <row r="1" spans="1:17" ht="14.5" customHeight="1" x14ac:dyDescent="0.35">
      <c r="A1" s="14" t="s">
        <v>50</v>
      </c>
      <c r="B1" s="15"/>
      <c r="C1" s="15"/>
      <c r="D1" s="15"/>
      <c r="E1" s="15"/>
      <c r="F1" s="15"/>
      <c r="G1" s="15"/>
      <c r="H1" s="15"/>
      <c r="I1" s="15"/>
      <c r="J1" s="15"/>
      <c r="K1" s="15"/>
      <c r="L1" s="15"/>
      <c r="M1" s="15"/>
      <c r="N1" s="15"/>
      <c r="O1" s="15"/>
      <c r="P1" s="15"/>
      <c r="Q1" s="16"/>
    </row>
    <row r="2" spans="1:17" ht="14.5" customHeight="1" x14ac:dyDescent="0.35">
      <c r="A2" s="17"/>
      <c r="B2" s="18"/>
      <c r="C2" s="18"/>
      <c r="D2" s="18"/>
      <c r="E2" s="18"/>
      <c r="F2" s="18"/>
      <c r="G2" s="18"/>
      <c r="H2" s="18"/>
      <c r="I2" s="18"/>
      <c r="J2" s="18"/>
      <c r="K2" s="18"/>
      <c r="L2" s="18"/>
      <c r="M2" s="18"/>
      <c r="N2" s="18"/>
      <c r="O2" s="18"/>
      <c r="P2" s="18"/>
      <c r="Q2" s="19"/>
    </row>
    <row r="3" spans="1:17" ht="14.5" customHeight="1" thickBot="1" x14ac:dyDescent="0.4">
      <c r="A3" s="27"/>
      <c r="B3" s="28"/>
      <c r="C3" s="28"/>
      <c r="D3" s="28"/>
      <c r="E3" s="28"/>
      <c r="F3" s="28"/>
      <c r="G3" s="28"/>
      <c r="H3" s="28"/>
      <c r="I3" s="28"/>
      <c r="J3" s="28"/>
      <c r="K3" s="28"/>
      <c r="L3" s="28"/>
      <c r="M3" s="28"/>
      <c r="N3" s="28"/>
      <c r="O3" s="28"/>
      <c r="P3" s="28"/>
      <c r="Q3" s="29"/>
    </row>
    <row r="4" spans="1:17" ht="15" thickBot="1" x14ac:dyDescent="0.4">
      <c r="A4" s="20"/>
      <c r="B4" s="21"/>
      <c r="C4" s="21"/>
      <c r="D4" s="21"/>
      <c r="E4" s="21"/>
      <c r="F4" s="21"/>
      <c r="G4" s="21"/>
      <c r="H4" s="21"/>
      <c r="I4" s="21"/>
      <c r="J4" s="21"/>
      <c r="K4" s="21"/>
      <c r="L4" s="21"/>
      <c r="M4" s="21"/>
      <c r="N4" s="21"/>
      <c r="O4" s="21"/>
      <c r="P4" s="21"/>
      <c r="Q4" s="22"/>
    </row>
    <row r="5" spans="1:17" x14ac:dyDescent="0.35">
      <c r="A5" s="20"/>
      <c r="B5" s="21"/>
      <c r="C5" s="21"/>
      <c r="D5" s="21"/>
      <c r="E5" s="21"/>
      <c r="F5" s="21"/>
      <c r="G5" s="21"/>
      <c r="H5" s="21"/>
      <c r="I5" s="21"/>
      <c r="J5" s="21"/>
      <c r="K5" s="23"/>
      <c r="L5" s="12" t="s">
        <v>30</v>
      </c>
      <c r="M5" s="13"/>
      <c r="N5" s="23"/>
      <c r="O5" s="12" t="s">
        <v>49</v>
      </c>
      <c r="P5" s="13"/>
      <c r="Q5" s="22"/>
    </row>
    <row r="6" spans="1:17" ht="15" thickBot="1" x14ac:dyDescent="0.4">
      <c r="A6" s="20"/>
      <c r="B6" s="21"/>
      <c r="C6" s="21"/>
      <c r="D6" s="21"/>
      <c r="E6" s="21"/>
      <c r="F6" s="21"/>
      <c r="G6" s="21"/>
      <c r="H6" s="21"/>
      <c r="I6" s="21"/>
      <c r="J6" s="21"/>
      <c r="K6" s="21"/>
      <c r="L6" s="10">
        <f>Sheet2!A7</f>
        <v>1000</v>
      </c>
      <c r="M6" s="11"/>
      <c r="N6" s="21"/>
      <c r="O6" s="8">
        <f>GETPIVOTDATA("transaction_amount",Sheet2!$A$3)</f>
        <v>275230</v>
      </c>
      <c r="P6" s="9"/>
      <c r="Q6" s="22"/>
    </row>
    <row r="7" spans="1:17" ht="15" thickBot="1" x14ac:dyDescent="0.4">
      <c r="A7" s="20"/>
      <c r="B7" s="21"/>
      <c r="C7" s="21"/>
      <c r="D7" s="21"/>
      <c r="E7" s="21"/>
      <c r="F7" s="21"/>
      <c r="G7" s="21"/>
      <c r="H7" s="21"/>
      <c r="I7" s="21"/>
      <c r="J7" s="21"/>
      <c r="K7" s="21"/>
      <c r="L7" s="21"/>
      <c r="M7" s="21"/>
      <c r="N7" s="21"/>
      <c r="O7" s="21"/>
      <c r="P7" s="21"/>
      <c r="Q7" s="22"/>
    </row>
    <row r="8" spans="1:17" x14ac:dyDescent="0.35">
      <c r="A8" s="20"/>
      <c r="B8" s="21"/>
      <c r="C8" s="21"/>
      <c r="D8" s="21"/>
      <c r="E8" s="21"/>
      <c r="F8" s="21"/>
      <c r="G8" s="21"/>
      <c r="H8" s="21"/>
      <c r="I8" s="21"/>
      <c r="J8" s="21"/>
      <c r="K8" s="21"/>
      <c r="L8" s="21"/>
      <c r="M8" s="21"/>
      <c r="N8" s="21"/>
      <c r="O8" s="12" t="s">
        <v>33</v>
      </c>
      <c r="P8" s="13"/>
      <c r="Q8" s="22"/>
    </row>
    <row r="9" spans="1:17" ht="15" thickBot="1" x14ac:dyDescent="0.4">
      <c r="A9" s="20"/>
      <c r="B9" s="21"/>
      <c r="C9" s="21"/>
      <c r="D9" s="21"/>
      <c r="E9" s="21"/>
      <c r="F9" s="21"/>
      <c r="G9" s="21"/>
      <c r="H9" s="21"/>
      <c r="I9" s="21"/>
      <c r="J9" s="21"/>
      <c r="K9" s="21"/>
      <c r="L9" s="21"/>
      <c r="M9" s="21"/>
      <c r="N9" s="21"/>
      <c r="O9" s="8">
        <f>Sheet2!A11</f>
        <v>275.23</v>
      </c>
      <c r="P9" s="9"/>
      <c r="Q9" s="22"/>
    </row>
    <row r="10" spans="1:17" x14ac:dyDescent="0.35">
      <c r="A10" s="20"/>
      <c r="B10" s="21"/>
      <c r="C10" s="21"/>
      <c r="D10" s="21"/>
      <c r="E10" s="21"/>
      <c r="F10" s="21"/>
      <c r="G10" s="21"/>
      <c r="H10" s="21"/>
      <c r="I10" s="21"/>
      <c r="J10" s="21"/>
      <c r="K10" s="21"/>
      <c r="L10" s="21"/>
      <c r="M10" s="21"/>
      <c r="N10" s="21"/>
      <c r="O10" s="21"/>
      <c r="P10" s="21"/>
      <c r="Q10" s="22"/>
    </row>
    <row r="11" spans="1:17" x14ac:dyDescent="0.35">
      <c r="A11" s="20"/>
      <c r="B11" s="21"/>
      <c r="C11" s="21"/>
      <c r="D11" s="21"/>
      <c r="E11" s="21"/>
      <c r="F11" s="21"/>
      <c r="G11" s="21"/>
      <c r="H11" s="21"/>
      <c r="I11" s="21"/>
      <c r="J11" s="21"/>
      <c r="K11" s="21"/>
      <c r="L11" s="21"/>
      <c r="M11" s="21"/>
      <c r="N11" s="21"/>
      <c r="O11" s="21"/>
      <c r="P11" s="21"/>
      <c r="Q11" s="22"/>
    </row>
    <row r="12" spans="1:17" x14ac:dyDescent="0.35">
      <c r="A12" s="20"/>
      <c r="B12" s="21"/>
      <c r="C12" s="21"/>
      <c r="D12" s="21"/>
      <c r="E12" s="21"/>
      <c r="F12" s="21"/>
      <c r="G12" s="21"/>
      <c r="H12" s="21"/>
      <c r="I12" s="21"/>
      <c r="J12" s="21"/>
      <c r="K12" s="21"/>
      <c r="L12" s="21"/>
      <c r="M12" s="21"/>
      <c r="N12" s="21"/>
      <c r="O12" s="21"/>
      <c r="P12" s="21"/>
      <c r="Q12" s="22"/>
    </row>
    <row r="13" spans="1:17" x14ac:dyDescent="0.35">
      <c r="A13" s="20"/>
      <c r="B13" s="21"/>
      <c r="C13" s="21"/>
      <c r="D13" s="21"/>
      <c r="E13" s="21"/>
      <c r="F13" s="21"/>
      <c r="G13" s="21"/>
      <c r="H13" s="21"/>
      <c r="I13" s="21"/>
      <c r="J13" s="21"/>
      <c r="K13" s="21"/>
      <c r="L13" s="21"/>
      <c r="M13" s="21"/>
      <c r="N13" s="21"/>
      <c r="O13" s="21"/>
      <c r="P13" s="21"/>
      <c r="Q13" s="22"/>
    </row>
    <row r="14" spans="1:17" x14ac:dyDescent="0.35">
      <c r="A14" s="20"/>
      <c r="B14" s="21"/>
      <c r="C14" s="21"/>
      <c r="D14" s="21"/>
      <c r="E14" s="21"/>
      <c r="F14" s="21"/>
      <c r="G14" s="21"/>
      <c r="H14" s="21"/>
      <c r="I14" s="21"/>
      <c r="J14" s="21"/>
      <c r="K14" s="21"/>
      <c r="L14" s="21"/>
      <c r="M14" s="21"/>
      <c r="N14" s="21"/>
      <c r="O14" s="21"/>
      <c r="P14" s="21"/>
      <c r="Q14" s="22"/>
    </row>
    <row r="15" spans="1:17" x14ac:dyDescent="0.35">
      <c r="A15" s="20"/>
      <c r="B15" s="21"/>
      <c r="C15" s="21"/>
      <c r="D15" s="21"/>
      <c r="E15" s="21"/>
      <c r="F15" s="21"/>
      <c r="G15" s="21"/>
      <c r="H15" s="21"/>
      <c r="I15" s="21"/>
      <c r="J15" s="21"/>
      <c r="K15" s="21"/>
      <c r="L15" s="21"/>
      <c r="M15" s="21"/>
      <c r="N15" s="21"/>
      <c r="O15" s="21"/>
      <c r="P15" s="21"/>
      <c r="Q15" s="22"/>
    </row>
    <row r="16" spans="1:17" x14ac:dyDescent="0.35">
      <c r="A16" s="20"/>
      <c r="B16" s="21"/>
      <c r="C16" s="21"/>
      <c r="D16" s="21"/>
      <c r="E16" s="21"/>
      <c r="F16" s="21"/>
      <c r="G16" s="21"/>
      <c r="H16" s="21"/>
      <c r="I16" s="21"/>
      <c r="J16" s="21"/>
      <c r="K16" s="21"/>
      <c r="L16" s="21"/>
      <c r="M16" s="21"/>
      <c r="N16" s="21"/>
      <c r="O16" s="21"/>
      <c r="P16" s="21"/>
      <c r="Q16" s="22"/>
    </row>
    <row r="17" spans="1:17" x14ac:dyDescent="0.35">
      <c r="A17" s="20"/>
      <c r="B17" s="21"/>
      <c r="C17" s="21"/>
      <c r="D17" s="21"/>
      <c r="E17" s="21"/>
      <c r="F17" s="21"/>
      <c r="G17" s="21"/>
      <c r="H17" s="21"/>
      <c r="I17" s="21"/>
      <c r="J17" s="21"/>
      <c r="K17" s="21"/>
      <c r="L17" s="21"/>
      <c r="M17" s="21"/>
      <c r="N17" s="21"/>
      <c r="O17" s="21"/>
      <c r="P17" s="21"/>
      <c r="Q17" s="22"/>
    </row>
    <row r="18" spans="1:17" x14ac:dyDescent="0.35">
      <c r="A18" s="20"/>
      <c r="B18" s="21"/>
      <c r="C18" s="21"/>
      <c r="D18" s="21"/>
      <c r="E18" s="21"/>
      <c r="F18" s="21"/>
      <c r="G18" s="21"/>
      <c r="H18" s="21"/>
      <c r="I18" s="21"/>
      <c r="J18" s="21"/>
      <c r="K18" s="21"/>
      <c r="L18" s="21"/>
      <c r="M18" s="21"/>
      <c r="N18" s="21"/>
      <c r="O18" s="21"/>
      <c r="P18" s="21"/>
      <c r="Q18" s="22"/>
    </row>
    <row r="19" spans="1:17" x14ac:dyDescent="0.35">
      <c r="A19" s="20"/>
      <c r="B19" s="21"/>
      <c r="C19" s="21"/>
      <c r="D19" s="21"/>
      <c r="E19" s="21"/>
      <c r="F19" s="21"/>
      <c r="G19" s="21"/>
      <c r="H19" s="21"/>
      <c r="I19" s="21"/>
      <c r="J19" s="21"/>
      <c r="K19" s="21"/>
      <c r="L19" s="21"/>
      <c r="M19" s="21"/>
      <c r="N19" s="21"/>
      <c r="O19" s="21"/>
      <c r="P19" s="21"/>
      <c r="Q19" s="22"/>
    </row>
    <row r="20" spans="1:17" x14ac:dyDescent="0.35">
      <c r="A20" s="20"/>
      <c r="B20" s="21"/>
      <c r="C20" s="21"/>
      <c r="D20" s="21"/>
      <c r="E20" s="21"/>
      <c r="F20" s="21"/>
      <c r="G20" s="21"/>
      <c r="H20" s="21"/>
      <c r="I20" s="21"/>
      <c r="J20" s="21"/>
      <c r="K20" s="21"/>
      <c r="L20" s="21"/>
      <c r="M20" s="21"/>
      <c r="N20" s="21"/>
      <c r="O20" s="21"/>
      <c r="P20" s="21"/>
      <c r="Q20" s="22"/>
    </row>
    <row r="21" spans="1:17" x14ac:dyDescent="0.35">
      <c r="A21" s="20"/>
      <c r="B21" s="21"/>
      <c r="C21" s="21"/>
      <c r="D21" s="21"/>
      <c r="E21" s="21"/>
      <c r="F21" s="21"/>
      <c r="G21" s="21"/>
      <c r="H21" s="21"/>
      <c r="I21" s="21"/>
      <c r="J21" s="21"/>
      <c r="K21" s="21"/>
      <c r="L21" s="21"/>
      <c r="M21" s="21"/>
      <c r="N21" s="21"/>
      <c r="O21" s="21"/>
      <c r="P21" s="21"/>
      <c r="Q21" s="22"/>
    </row>
    <row r="22" spans="1:17" x14ac:dyDescent="0.35">
      <c r="A22" s="20"/>
      <c r="B22" s="21"/>
      <c r="C22" s="21"/>
      <c r="D22" s="21"/>
      <c r="E22" s="21"/>
      <c r="F22" s="21"/>
      <c r="G22" s="21"/>
      <c r="H22" s="21"/>
      <c r="I22" s="21"/>
      <c r="J22" s="21"/>
      <c r="K22" s="21"/>
      <c r="L22" s="21"/>
      <c r="M22" s="21"/>
      <c r="N22" s="21"/>
      <c r="O22" s="21"/>
      <c r="P22" s="21"/>
      <c r="Q22" s="22"/>
    </row>
    <row r="23" spans="1:17" x14ac:dyDescent="0.35">
      <c r="A23" s="20"/>
      <c r="B23" s="21"/>
      <c r="C23" s="21"/>
      <c r="D23" s="21"/>
      <c r="E23" s="21"/>
      <c r="F23" s="21"/>
      <c r="G23" s="21"/>
      <c r="H23" s="21"/>
      <c r="I23" s="21"/>
      <c r="J23" s="21"/>
      <c r="K23" s="21"/>
      <c r="L23" s="21"/>
      <c r="M23" s="21"/>
      <c r="N23" s="21"/>
      <c r="O23" s="21"/>
      <c r="P23" s="21"/>
      <c r="Q23" s="22"/>
    </row>
    <row r="24" spans="1:17" x14ac:dyDescent="0.35">
      <c r="A24" s="20"/>
      <c r="B24" s="21"/>
      <c r="C24" s="21"/>
      <c r="D24" s="21"/>
      <c r="E24" s="21"/>
      <c r="F24" s="21"/>
      <c r="G24" s="21"/>
      <c r="H24" s="21"/>
      <c r="I24" s="21"/>
      <c r="J24" s="21"/>
      <c r="K24" s="21"/>
      <c r="L24" s="21"/>
      <c r="M24" s="21"/>
      <c r="N24" s="21"/>
      <c r="O24" s="21"/>
      <c r="P24" s="21"/>
      <c r="Q24" s="22"/>
    </row>
    <row r="25" spans="1:17" x14ac:dyDescent="0.35">
      <c r="A25" s="20"/>
      <c r="B25" s="21"/>
      <c r="C25" s="21"/>
      <c r="D25" s="21"/>
      <c r="E25" s="21"/>
      <c r="F25" s="21"/>
      <c r="G25" s="21"/>
      <c r="H25" s="21"/>
      <c r="I25" s="21"/>
      <c r="J25" s="21"/>
      <c r="K25" s="21"/>
      <c r="L25" s="21"/>
      <c r="M25" s="21"/>
      <c r="N25" s="21"/>
      <c r="O25" s="21"/>
      <c r="P25" s="21"/>
      <c r="Q25" s="22"/>
    </row>
    <row r="26" spans="1:17" x14ac:dyDescent="0.35">
      <c r="A26" s="20"/>
      <c r="B26" s="21"/>
      <c r="C26" s="21"/>
      <c r="D26" s="21"/>
      <c r="E26" s="21"/>
      <c r="F26" s="21"/>
      <c r="G26" s="21"/>
      <c r="H26" s="21"/>
      <c r="I26" s="21"/>
      <c r="J26" s="21"/>
      <c r="K26" s="21"/>
      <c r="L26" s="21"/>
      <c r="M26" s="21"/>
      <c r="N26" s="21"/>
      <c r="O26" s="21"/>
      <c r="P26" s="21"/>
      <c r="Q26" s="22"/>
    </row>
    <row r="27" spans="1:17" x14ac:dyDescent="0.35">
      <c r="A27" s="20"/>
      <c r="B27" s="21"/>
      <c r="C27" s="21"/>
      <c r="D27" s="21"/>
      <c r="E27" s="21"/>
      <c r="F27" s="21"/>
      <c r="G27" s="21"/>
      <c r="H27" s="21"/>
      <c r="I27" s="21"/>
      <c r="J27" s="21"/>
      <c r="K27" s="21"/>
      <c r="L27" s="21"/>
      <c r="M27" s="21"/>
      <c r="N27" s="21"/>
      <c r="O27" s="21"/>
      <c r="P27" s="21"/>
      <c r="Q27" s="22"/>
    </row>
    <row r="28" spans="1:17" x14ac:dyDescent="0.35">
      <c r="A28" s="20"/>
      <c r="B28" s="21"/>
      <c r="C28" s="21"/>
      <c r="D28" s="21"/>
      <c r="E28" s="21"/>
      <c r="F28" s="21"/>
      <c r="G28" s="21"/>
      <c r="H28" s="21"/>
      <c r="I28" s="21"/>
      <c r="J28" s="21"/>
      <c r="K28" s="21"/>
      <c r="L28" s="21"/>
      <c r="M28" s="21"/>
      <c r="N28" s="21"/>
      <c r="O28" s="21"/>
      <c r="P28" s="21"/>
      <c r="Q28" s="22"/>
    </row>
    <row r="29" spans="1:17" x14ac:dyDescent="0.35">
      <c r="A29" s="20"/>
      <c r="B29" s="21"/>
      <c r="C29" s="21"/>
      <c r="D29" s="21"/>
      <c r="E29" s="21"/>
      <c r="F29" s="21"/>
      <c r="G29" s="21"/>
      <c r="H29" s="21"/>
      <c r="I29" s="21"/>
      <c r="J29" s="21"/>
      <c r="K29" s="21"/>
      <c r="L29" s="21"/>
      <c r="M29" s="21"/>
      <c r="N29" s="21"/>
      <c r="O29" s="21"/>
      <c r="P29" s="21"/>
      <c r="Q29" s="22"/>
    </row>
    <row r="30" spans="1:17" x14ac:dyDescent="0.35">
      <c r="A30" s="20"/>
      <c r="B30" s="21"/>
      <c r="C30" s="21"/>
      <c r="D30" s="21"/>
      <c r="E30" s="21"/>
      <c r="F30" s="21"/>
      <c r="G30" s="21"/>
      <c r="H30" s="21"/>
      <c r="I30" s="21"/>
      <c r="J30" s="21"/>
      <c r="K30" s="21"/>
      <c r="L30" s="21"/>
      <c r="M30" s="21"/>
      <c r="N30" s="21"/>
      <c r="O30" s="21"/>
      <c r="P30" s="21"/>
      <c r="Q30" s="22"/>
    </row>
    <row r="31" spans="1:17" x14ac:dyDescent="0.35">
      <c r="A31" s="20"/>
      <c r="B31" s="21"/>
      <c r="C31" s="21"/>
      <c r="D31" s="21"/>
      <c r="E31" s="21"/>
      <c r="F31" s="21"/>
      <c r="G31" s="21"/>
      <c r="H31" s="21"/>
      <c r="I31" s="21"/>
      <c r="J31" s="21"/>
      <c r="K31" s="21"/>
      <c r="L31" s="21"/>
      <c r="M31" s="21"/>
      <c r="N31" s="21"/>
      <c r="O31" s="21"/>
      <c r="P31" s="21"/>
      <c r="Q31" s="22"/>
    </row>
    <row r="32" spans="1:17" x14ac:dyDescent="0.35">
      <c r="A32" s="20"/>
      <c r="B32" s="21"/>
      <c r="C32" s="21"/>
      <c r="D32" s="21"/>
      <c r="E32" s="21"/>
      <c r="F32" s="21"/>
      <c r="G32" s="21"/>
      <c r="H32" s="21"/>
      <c r="I32" s="21"/>
      <c r="J32" s="21"/>
      <c r="K32" s="21"/>
      <c r="L32" s="21"/>
      <c r="M32" s="21"/>
      <c r="N32" s="21"/>
      <c r="O32" s="21"/>
      <c r="P32" s="21"/>
      <c r="Q32" s="22"/>
    </row>
    <row r="33" spans="1:17" x14ac:dyDescent="0.35">
      <c r="A33" s="20"/>
      <c r="B33" s="21"/>
      <c r="C33" s="21"/>
      <c r="D33" s="21"/>
      <c r="E33" s="21"/>
      <c r="F33" s="21"/>
      <c r="G33" s="21"/>
      <c r="H33" s="21"/>
      <c r="I33" s="21"/>
      <c r="J33" s="21"/>
      <c r="K33" s="21"/>
      <c r="L33" s="21"/>
      <c r="M33" s="21"/>
      <c r="N33" s="21"/>
      <c r="O33" s="21"/>
      <c r="P33" s="21"/>
      <c r="Q33" s="22"/>
    </row>
    <row r="34" spans="1:17" x14ac:dyDescent="0.35">
      <c r="A34" s="20"/>
      <c r="B34" s="21"/>
      <c r="C34" s="21"/>
      <c r="D34" s="21"/>
      <c r="E34" s="21"/>
      <c r="F34" s="21"/>
      <c r="G34" s="21"/>
      <c r="H34" s="21"/>
      <c r="I34" s="21"/>
      <c r="J34" s="21"/>
      <c r="K34" s="21"/>
      <c r="L34" s="21"/>
      <c r="M34" s="21"/>
      <c r="N34" s="21"/>
      <c r="O34" s="21"/>
      <c r="P34" s="21"/>
      <c r="Q34" s="22"/>
    </row>
    <row r="35" spans="1:17" x14ac:dyDescent="0.35">
      <c r="A35" s="20"/>
      <c r="B35" s="21"/>
      <c r="C35" s="21"/>
      <c r="D35" s="21"/>
      <c r="E35" s="21"/>
      <c r="F35" s="21"/>
      <c r="G35" s="21"/>
      <c r="H35" s="21"/>
      <c r="I35" s="21"/>
      <c r="J35" s="21"/>
      <c r="K35" s="21"/>
      <c r="L35" s="21"/>
      <c r="M35" s="21"/>
      <c r="N35" s="21"/>
      <c r="O35" s="21"/>
      <c r="P35" s="21"/>
      <c r="Q35" s="22"/>
    </row>
    <row r="36" spans="1:17" x14ac:dyDescent="0.35">
      <c r="A36" s="20"/>
      <c r="B36" s="21"/>
      <c r="C36" s="21"/>
      <c r="D36" s="21"/>
      <c r="E36" s="21"/>
      <c r="F36" s="21"/>
      <c r="G36" s="21"/>
      <c r="H36" s="21"/>
      <c r="I36" s="21"/>
      <c r="J36" s="21"/>
      <c r="K36" s="21"/>
      <c r="L36" s="21"/>
      <c r="M36" s="21"/>
      <c r="N36" s="21"/>
      <c r="O36" s="21"/>
      <c r="P36" s="21"/>
      <c r="Q36" s="22"/>
    </row>
    <row r="37" spans="1:17" x14ac:dyDescent="0.35">
      <c r="A37" s="20"/>
      <c r="B37" s="21"/>
      <c r="C37" s="21"/>
      <c r="D37" s="21"/>
      <c r="E37" s="21"/>
      <c r="F37" s="21"/>
      <c r="G37" s="21"/>
      <c r="H37" s="21"/>
      <c r="I37" s="21"/>
      <c r="J37" s="21"/>
      <c r="K37" s="21"/>
      <c r="L37" s="21"/>
      <c r="M37" s="21"/>
      <c r="N37" s="21"/>
      <c r="O37" s="21"/>
      <c r="P37" s="21"/>
      <c r="Q37" s="22"/>
    </row>
    <row r="38" spans="1:17" x14ac:dyDescent="0.35">
      <c r="A38" s="20"/>
      <c r="B38" s="21"/>
      <c r="C38" s="21"/>
      <c r="D38" s="21"/>
      <c r="E38" s="21"/>
      <c r="F38" s="21"/>
      <c r="G38" s="21"/>
      <c r="H38" s="21"/>
      <c r="I38" s="21"/>
      <c r="J38" s="21"/>
      <c r="K38" s="21"/>
      <c r="L38" s="21"/>
      <c r="M38" s="21"/>
      <c r="N38" s="21"/>
      <c r="O38" s="21"/>
      <c r="P38" s="21"/>
      <c r="Q38" s="22"/>
    </row>
    <row r="39" spans="1:17" x14ac:dyDescent="0.35">
      <c r="A39" s="20"/>
      <c r="B39" s="21"/>
      <c r="C39" s="21"/>
      <c r="D39" s="21"/>
      <c r="E39" s="21"/>
      <c r="F39" s="21"/>
      <c r="G39" s="21"/>
      <c r="H39" s="21"/>
      <c r="I39" s="21"/>
      <c r="J39" s="21"/>
      <c r="K39" s="21"/>
      <c r="L39" s="21"/>
      <c r="M39" s="21"/>
      <c r="N39" s="21"/>
      <c r="O39" s="21"/>
      <c r="P39" s="21"/>
      <c r="Q39" s="22"/>
    </row>
    <row r="40" spans="1:17" ht="15" thickBot="1" x14ac:dyDescent="0.4">
      <c r="A40" s="24"/>
      <c r="B40" s="25"/>
      <c r="C40" s="25"/>
      <c r="D40" s="25"/>
      <c r="E40" s="25"/>
      <c r="F40" s="25"/>
      <c r="G40" s="25"/>
      <c r="H40" s="25"/>
      <c r="I40" s="25"/>
      <c r="J40" s="25"/>
      <c r="K40" s="25"/>
      <c r="L40" s="25"/>
      <c r="M40" s="25"/>
      <c r="N40" s="25"/>
      <c r="O40" s="25"/>
      <c r="P40" s="25"/>
      <c r="Q40" s="26"/>
    </row>
  </sheetData>
  <mergeCells count="7">
    <mergeCell ref="O9:P9"/>
    <mergeCell ref="L6:M6"/>
    <mergeCell ref="O5:P5"/>
    <mergeCell ref="O6:P6"/>
    <mergeCell ref="A1:Q3"/>
    <mergeCell ref="L5:M5"/>
    <mergeCell ref="O8:P8"/>
  </mergeCells>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Sheet1</vt:lpstr>
      <vt:lpstr>Sheet3</vt:lpstr>
      <vt:lpstr>Sheet2</vt:lpstr>
      <vt:lpstr>Sheet4</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Udin Mustofa</cp:lastModifiedBy>
  <dcterms:created xsi:type="dcterms:W3CDTF">2025-12-23T04:40:38Z</dcterms:created>
  <dcterms:modified xsi:type="dcterms:W3CDTF">2025-12-23T08:49:21Z</dcterms:modified>
</cp:coreProperties>
</file>